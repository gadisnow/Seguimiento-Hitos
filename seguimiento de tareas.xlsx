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guimiento temas" sheetId="1" r:id="rId5"/>
    <sheet state="visible" name="Copia modelo Claude" sheetId="2" r:id="rId6"/>
    <sheet state="visible" name="Leyenda" sheetId="3" r:id="rId7"/>
  </sheets>
  <definedNames>
    <definedName hidden="1" localSheetId="0" name="_xlnm._FilterDatabase">'Seguimiento temas'!$A$2:$Q$67</definedName>
    <definedName hidden="1" localSheetId="1" name="_xlnm._FilterDatabase">'Copia modelo Claude'!$A$1:$R$1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tc={33be7404-5f08-45d8-97fb-5491a5958f2b}</author>
  </authors>
  <commentList>
    <comment authorId="0" xr:uid="{33be7404-5f08-45d8-97fb-5491a5958f2b}" ref="G9">
      <text>
        <t xml:space="preserve">[Threaded comment]
 Your version of Excel allows you to read this threaded comment; however, any edits to it will get removed if the file is opened in a newer version of Excel. Learn more: https://go.microsoft.com/fwlink/?linkid=870924
Comment:
	abrir 3 filas una por cada convenio
</t>
      </text>
    </comment>
  </commentList>
</comments>
</file>

<file path=xl/sharedStrings.xml><?xml version="1.0" encoding="utf-8"?>
<sst xmlns="http://schemas.openxmlformats.org/spreadsheetml/2006/main" count="443" uniqueCount="141">
  <si>
    <t>Fecha</t>
  </si>
  <si>
    <t>Nivel</t>
  </si>
  <si>
    <t>ID Tema</t>
  </si>
  <si>
    <t>Tipo de tema</t>
  </si>
  <si>
    <t>Solicitante</t>
  </si>
  <si>
    <t>Importancia</t>
  </si>
  <si>
    <t>Tarea / Tema</t>
  </si>
  <si>
    <t>Responsable</t>
  </si>
  <si>
    <t>Estado</t>
  </si>
  <si>
    <t>Expediente</t>
  </si>
  <si>
    <t>Link</t>
  </si>
  <si>
    <t>Fecha de inicio</t>
  </si>
  <si>
    <t>Fecha de finalización</t>
  </si>
  <si>
    <t>Última actualización</t>
  </si>
  <si>
    <t>Fecha última act</t>
  </si>
  <si>
    <t>Distribuible</t>
  </si>
  <si>
    <t>Notas</t>
  </si>
  <si>
    <t>TEMA</t>
  </si>
  <si>
    <t>T-001</t>
  </si>
  <si>
    <t>Personales</t>
  </si>
  <si>
    <t>Valeria Ricco</t>
  </si>
  <si>
    <t>Media</t>
  </si>
  <si>
    <t>Declaración Jurada Anual de Patrimonio (periodo 2025)</t>
  </si>
  <si>
    <t>Jorge Ríos</t>
  </si>
  <si>
    <t>01 - Pendiente</t>
  </si>
  <si>
    <t>VTO 31 de julio de 2026 
Jorge avisado el 26/5</t>
  </si>
  <si>
    <t>HITO</t>
  </si>
  <si>
    <t>Recibir pedido de la Oficina Anticorrupción: NO-2026-44395169-APN-SSGAI#MEC y 
NO-2026-44394584-APN-SSGAI#MEC</t>
  </si>
  <si>
    <t>04 - Cerrado</t>
  </si>
  <si>
    <t>Completar declaración con modelo periodo 2024</t>
  </si>
  <si>
    <t>Presentar declaración jurada</t>
  </si>
  <si>
    <t>05 - Bloqueado</t>
  </si>
  <si>
    <t>T-002</t>
  </si>
  <si>
    <t>DNISU</t>
  </si>
  <si>
    <t>Natalia Hilu, Pablo Morillo</t>
  </si>
  <si>
    <t>NRU 1763 – Barrio Avenida de las Américas – Municipalidad de Concepción</t>
  </si>
  <si>
    <t>Alejandro B, Luis Mesones</t>
  </si>
  <si>
    <t>EX-2022-94776460-APN-CEFISU#MDS</t>
  </si>
  <si>
    <t>Validación del Certificado de avance de obra N°02 (60%) por auditor externo</t>
  </si>
  <si>
    <t>Alejandro B</t>
  </si>
  <si>
    <t>Revisión y aprobación de rendición contable de fondos</t>
  </si>
  <si>
    <t>Luis Mesones</t>
  </si>
  <si>
    <t>02 - En curso</t>
  </si>
  <si>
    <t>Elevación de expediente para aprobación del 3° desembolso</t>
  </si>
  <si>
    <t>T-003</t>
  </si>
  <si>
    <t>José Paredes, Natalia Hilu</t>
  </si>
  <si>
    <t>NRU 1754 – Barrio Santa Bárbara 1 y 2 – Cooperativa Santa Barbara Ltda.</t>
  </si>
  <si>
    <t>Definición de circuito para aprobación de Redeterminación de precios (C2)</t>
  </si>
  <si>
    <t>Validación del certificado por auditoría externa</t>
  </si>
  <si>
    <t>Formalización del cierre del proyecto</t>
  </si>
  <si>
    <t>T-004</t>
  </si>
  <si>
    <t>Sebastian Pareja</t>
  </si>
  <si>
    <t>Estado proyectos 5797, 5798, 5799 – Fundación Trazando Futuro / Coop. Sueños en Común</t>
  </si>
  <si>
    <t>Proy. 5797 – Barrio Quinta de Pelozo – SUM y Playón deportivo</t>
  </si>
  <si>
    <t>Proy. 5798 – Barrio San Carlos I – Eléctrica y Núcleos húmedos</t>
  </si>
  <si>
    <t>Proy. 5799 – Barrio Nuevo Amanecer – Eléctrica, Vereda y arbolado</t>
  </si>
  <si>
    <t>T-005</t>
  </si>
  <si>
    <t>José Paredes, Natalia Hilu, Valeria Sánchez</t>
  </si>
  <si>
    <t>Loteo Parque Sur – Municipalidad de Catamarca</t>
  </si>
  <si>
    <t>EX-2022-130503405-APN-CEFISU#MDS</t>
  </si>
  <si>
    <t>CO 6, 7 y 8 – Elevación a Subsecretaría de Obras y Servicios para desembolsos</t>
  </si>
  <si>
    <t>EX-2026-44987494-APN-DGDA#MEC</t>
  </si>
  <si>
    <t>RDT 5 – Subsanación de rendiciones por la UE (enviadas 07-05-26)</t>
  </si>
  <si>
    <t>Jurisdicción</t>
  </si>
  <si>
    <t>RDT 5 – Elevación del informe una vez subsanadas las rendiciones</t>
  </si>
  <si>
    <t>T-006</t>
  </si>
  <si>
    <t>BH, Adrian Danieli - Testagrosa</t>
  </si>
  <si>
    <t>Alta</t>
  </si>
  <si>
    <t>Convenio Traspaso a Córdoba – Barrio Zepa SISU</t>
  </si>
  <si>
    <t>Gabriela</t>
  </si>
  <si>
    <t>Hito 1 – (completar)</t>
  </si>
  <si>
    <t>T-007</t>
  </si>
  <si>
    <t>PROCREAR</t>
  </si>
  <si>
    <t>BH</t>
  </si>
  <si>
    <t>Seguimiento 3 expedientes de subastas – Barrio Liceo / Estación Buenos Aires / La Plata</t>
  </si>
  <si>
    <t>Karina, Marielda</t>
  </si>
  <si>
    <t>Barrio Liceo – Publicación en boletín oficial</t>
  </si>
  <si>
    <t>Karina</t>
  </si>
  <si>
    <t>Estación Buenos Aires – Publicación en boletín oficial</t>
  </si>
  <si>
    <t>La Plata – Publicación en boletín oficial</t>
  </si>
  <si>
    <t>Marielda</t>
  </si>
  <si>
    <t>T-008</t>
  </si>
  <si>
    <t>Concesiones</t>
  </si>
  <si>
    <t>Ignacio Lupi</t>
  </si>
  <si>
    <t>Concesión Palais de Glace</t>
  </si>
  <si>
    <t>Luisina, Karina</t>
  </si>
  <si>
    <t>Delegacion de facultades - con expediente</t>
  </si>
  <si>
    <t>Confección de pliegos</t>
  </si>
  <si>
    <t>Luisina</t>
  </si>
  <si>
    <t>Llamado a licitacion - sin expediente</t>
  </si>
  <si>
    <t>T-009</t>
  </si>
  <si>
    <t>Concesión ETOR</t>
  </si>
  <si>
    <t>T-010</t>
  </si>
  <si>
    <t>Concesión Muse MARQ</t>
  </si>
  <si>
    <t>T-011</t>
  </si>
  <si>
    <t>Institucionales</t>
  </si>
  <si>
    <t xml:space="preserve">
Wenceslao Maislin</t>
  </si>
  <si>
    <t>Baja</t>
  </si>
  <si>
    <t>13º Foro Urbano Mundial (WUF13) MINURVI y WUF13 / MINURVI and WUF13 Information</t>
  </si>
  <si>
    <t>Jorge Ríos, Privada</t>
  </si>
  <si>
    <t>03 - En revisión</t>
  </si>
  <si>
    <t>Participación/interés del área en grupos temáticos y designación de punto focal; monitorear convocatorias y reuniones MINURVI/WUF13.
Mayo 2026: cada grupo debe definir ejes temáticos y cronograma.
Julio 2026: presentación de avances en plenaria virtual.
Diciembre 2026: informe final de actividades para Asamblea General en Uruguay.</t>
  </si>
  <si>
    <t>T-012</t>
  </si>
  <si>
    <t>Administración</t>
  </si>
  <si>
    <t>Expedientes designaciones KL y LR</t>
  </si>
  <si>
    <t>Privada</t>
  </si>
  <si>
    <r>
      <rPr>
        <rFont val="Arial"/>
        <color theme="1"/>
        <sz val="9.0"/>
      </rPr>
      <t>karina</t>
    </r>
    <r>
      <rPr>
        <rFont val="Arial"/>
        <b/>
        <color theme="1"/>
        <sz val="9.0"/>
      </rPr>
      <t xml:space="preserve"> EX-2026-33988163- -APN-DGDA#MEC 
</t>
    </r>
    <r>
      <rPr>
        <rFont val="Arial"/>
        <color theme="1"/>
        <sz val="9.0"/>
      </rPr>
      <t xml:space="preserve">Cintia Romina NEVESCNEVES
Dirección de Interpretación y Asistencia NormativaDIYAN#MDYTE
</t>
    </r>
    <r>
      <rPr>
        <rFont val="Arial"/>
        <b/>
        <color theme="1"/>
        <sz val="9.0"/>
      </rPr>
      <t>En  DIYAN#MDYTE el 27/5</t>
    </r>
  </si>
  <si>
    <t xml:space="preserve">EX-2026-33988163- -APN-DGDA#MEC </t>
  </si>
  <si>
    <r>
      <rPr>
        <rFont val="Arial"/>
        <color theme="1"/>
        <sz val="9.0"/>
      </rPr>
      <t xml:space="preserve">luisina </t>
    </r>
    <r>
      <rPr>
        <rFont val="Arial"/>
        <b/>
        <color theme="1"/>
        <sz val="9.0"/>
      </rPr>
      <t xml:space="preserve">EX-2026-36272697- -APN-SICYT#JGM 
</t>
    </r>
    <r>
      <rPr>
        <rFont val="Arial"/>
        <color theme="1"/>
        <sz val="9.0"/>
      </rPr>
      <t xml:space="preserve">Agustín Hugo MARCONEAMARCONE
Dirección de Interpretación y Asistencia NormativaDIYAN#MDYTE
</t>
    </r>
    <r>
      <rPr>
        <rFont val="Arial"/>
        <b/>
        <color theme="1"/>
        <sz val="9.0"/>
      </rPr>
      <t>En CNEVES - DIYAN#MDYTE desde el 20/5, con actividad del 27/5</t>
    </r>
  </si>
  <si>
    <t xml:space="preserve">EX-2026-36272697- -APN-SICYT#JGM </t>
  </si>
  <si>
    <t>T-013</t>
  </si>
  <si>
    <t>Externo</t>
  </si>
  <si>
    <t>Pedido de llamado Intendente Esteban Echeverría</t>
  </si>
  <si>
    <t>Jorge Ríos, Karina</t>
  </si>
  <si>
    <t>Chequear estado de convenio viviendas municipio con Karina (Abril preguntó 1/6 a Kari)</t>
  </si>
  <si>
    <t>Llamar al Intendente (Jorge) - Coordinar fecha y hora</t>
  </si>
  <si>
    <t>T-014</t>
  </si>
  <si>
    <t>Inicio del curso de Automation (4/6 al 13/9)</t>
  </si>
  <si>
    <t>Tarea / Tema / Hito</t>
  </si>
  <si>
    <t>Reporte a</t>
  </si>
  <si>
    <t>Fecha inicio</t>
  </si>
  <si>
    <t>Fecha finalización</t>
  </si>
  <si>
    <t>Fecha última act.</t>
  </si>
  <si>
    <t>Información</t>
  </si>
  <si>
    <t>Adelantar la información para tenerla lista, con el modelo entregado por el periodo 2024.</t>
  </si>
  <si>
    <t>19/05/2026</t>
  </si>
  <si>
    <t>Pendiente que nos envíen el pedido de la Oficina Anticorrupcion</t>
  </si>
  <si>
    <t>Recibir pedido de la Oficina Anticorrupción</t>
  </si>
  <si>
    <t>Pendiente envío por parte de la Oficina Anticorrupción</t>
  </si>
  <si>
    <t>GDE</t>
  </si>
  <si>
    <t>Monto pendiente de desembolso: $72.996.453,54 | Concepto: 3° desembolso</t>
  </si>
  <si>
    <t>Avance físico: 100%. Saldo pendiente de rendición en revisión.</t>
  </si>
  <si>
    <t>EX-2022-130503405-APN-CEFISU#MDS / EX-2026-44987494-APN-DGDA#MEC</t>
  </si>
  <si>
    <t>Falta subsanación de cuestiones de forma por parte de la UE</t>
  </si>
  <si>
    <t>Fecha de salida en boletín oficial: fin de mayo</t>
  </si>
  <si>
    <t>Estados</t>
  </si>
  <si>
    <t>el tema/hito todavía no arrancó. Está en la lista pero no hay acción en curso.</t>
  </si>
  <si>
    <t>hay trabajo activo sucediendo ahora mismo.</t>
  </si>
  <si>
    <t>el trabajo está hecho pero está esperando aprobación, validación o firma de alguien.</t>
  </si>
  <si>
    <t>completado y sin pendientes.</t>
  </si>
  <si>
    <t>no puede avanzar porque depende de un tercero o de algo externo que no está resuelto. La diferencia con "Pendiente" es que acá ya se intentó avanzar pero hay un impedimento concreto. Por ejemplo, el hito de elevación del expediente en T-002 podría ser "Bloqueado" en lugar de "Pendiente" porque está esperando que se apruebe la rendición contable —no es que no arrancó, es que está frenado por algo fuera del equipo.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</si>
</sst>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
    <numFmt numFmtId="165" formatCode="dd/mm"/>
    <numFmt numFmtId="166" formatCode="d/MM/yyyy"/>
    <numFmt numFmtId="167" formatCode="d/m"/>
  </numFmts>
  <fonts count="30">
    <font>
      <sz val="10.0"/>
      <color rgb="FF000000"/>
      <name val="Arial"/>
      <scheme val="minor"/>
    </font>
    <font>
      <sz val="9.0"/>
      <color rgb="FF0B5394"/>
      <name val="Arial"/>
      <scheme val="minor"/>
    </font>
    <font>
      <b/>
      <sz val="11.0"/>
      <color rgb="FFFFF2F2"/>
      <name val="Roboto"/>
    </font>
    <font>
      <sz val="9.0"/>
      <color rgb="FFFFF2F2"/>
      <name val="Arial"/>
      <scheme val="minor"/>
    </font>
    <font>
      <b/>
      <sz val="10.0"/>
      <color rgb="FF1F3864"/>
      <name val="Arial"/>
    </font>
    <font>
      <b/>
      <sz val="9.0"/>
      <color rgb="FF9A7D0A"/>
      <name val="Arial"/>
    </font>
    <font>
      <b/>
      <sz val="9.0"/>
      <color rgb="FF7D6608"/>
      <name val="Arial"/>
    </font>
    <font>
      <sz val="9.0"/>
      <color theme="1"/>
      <name val="Arial"/>
      <scheme val="minor"/>
    </font>
    <font>
      <sz val="10.0"/>
      <color rgb="FF333333"/>
      <name val="Arial"/>
    </font>
    <font>
      <b/>
      <u/>
      <sz val="10.0"/>
      <color rgb="FF1F3864"/>
      <name val="Arial"/>
    </font>
    <font>
      <b/>
      <sz val="9.0"/>
      <color rgb="FF1E8449"/>
      <name val="Arial"/>
    </font>
    <font>
      <b/>
      <sz val="9.0"/>
      <color rgb="FF084298"/>
      <name val="Arial"/>
    </font>
    <font>
      <u/>
      <sz val="10.0"/>
      <color rgb="FF333333"/>
      <name val="Arial"/>
    </font>
    <font>
      <b/>
      <sz val="9.0"/>
      <color rgb="FF922B21"/>
      <name val="Arial"/>
    </font>
    <font>
      <color theme="1"/>
      <name val="Arial"/>
    </font>
    <font>
      <color rgb="FF333333"/>
      <name val="Arial"/>
    </font>
    <font>
      <b/>
      <sz val="9.0"/>
      <color rgb="FF0A53A8"/>
      <name val="Arial"/>
    </font>
    <font>
      <sz val="10.0"/>
      <color rgb="FF1F3864"/>
      <name val="Arial"/>
    </font>
    <font>
      <u/>
      <sz val="9.0"/>
      <color rgb="FF0000FF"/>
      <name val="Roboto"/>
    </font>
    <font>
      <b/>
      <sz val="9.0"/>
      <color theme="1"/>
      <name val="Arial"/>
      <scheme val="minor"/>
    </font>
    <font>
      <b/>
      <sz val="10.0"/>
      <color rgb="FFFFFFFF"/>
      <name val="Arial"/>
    </font>
    <font>
      <b/>
      <sz val="11.0"/>
      <color rgb="FFFFFFFF"/>
      <name val="Arial"/>
    </font>
    <font/>
    <font>
      <b/>
      <sz val="10.0"/>
      <color rgb="FF7D6608"/>
      <name val="Arial"/>
    </font>
    <font>
      <color theme="1"/>
      <name val="Arial"/>
      <scheme val="minor"/>
    </font>
    <font>
      <b/>
      <sz val="10.0"/>
      <color rgb="FF084298"/>
      <name val="Arial"/>
    </font>
    <font>
      <b/>
      <sz val="10.0"/>
      <color rgb="FF943126"/>
      <name val="Arial"/>
    </font>
    <font>
      <b/>
      <sz val="10.0"/>
      <color rgb="FF1E8449"/>
      <name val="Arial"/>
    </font>
    <font>
      <b/>
      <sz val="10.0"/>
      <color rgb="FF922B21"/>
      <name val="Arial"/>
    </font>
    <font>
      <b/>
      <sz val="10.0"/>
      <color rgb="FF9A7D0A"/>
      <name val="Arial"/>
    </font>
  </fonts>
  <fills count="17">
    <fill>
      <patternFill patternType="none"/>
    </fill>
    <fill>
      <patternFill patternType="lightGray"/>
    </fill>
    <fill>
      <patternFill patternType="solid">
        <fgColor rgb="FFEA9999"/>
        <bgColor rgb="FFEA9999"/>
      </patternFill>
    </fill>
    <fill>
      <patternFill patternType="solid">
        <fgColor rgb="FFD6E4F7"/>
        <bgColor rgb="FFD6E4F7"/>
      </patternFill>
    </fill>
    <fill>
      <patternFill patternType="solid">
        <fgColor rgb="FFFEF9E7"/>
        <bgColor rgb="FFFEF9E7"/>
      </patternFill>
    </fill>
    <fill>
      <patternFill patternType="solid">
        <fgColor rgb="FFFFF2CC"/>
        <bgColor rgb="FFFFF2CC"/>
      </patternFill>
    </fill>
    <fill>
      <patternFill patternType="solid">
        <fgColor rgb="FFFFFFFF"/>
        <bgColor rgb="FFFFFFFF"/>
      </patternFill>
    </fill>
    <fill>
      <patternFill patternType="solid">
        <fgColor rgb="FFF5F8FD"/>
        <bgColor rgb="FFF5F8FD"/>
      </patternFill>
    </fill>
    <fill>
      <patternFill patternType="solid">
        <fgColor rgb="FFD5F5E3"/>
        <bgColor rgb="FFD5F5E3"/>
      </patternFill>
    </fill>
    <fill>
      <patternFill patternType="solid">
        <fgColor rgb="FFCFE2FF"/>
        <bgColor rgb="FFCFE2FF"/>
      </patternFill>
    </fill>
    <fill>
      <patternFill patternType="solid">
        <fgColor rgb="FFFADBD8"/>
        <bgColor rgb="FFFADBD8"/>
      </patternFill>
    </fill>
    <fill>
      <patternFill patternType="solid">
        <fgColor rgb="FFF6F8F9"/>
        <bgColor rgb="FFF6F8F9"/>
      </patternFill>
    </fill>
    <fill>
      <patternFill patternType="solid">
        <fgColor rgb="FFEAFAF1"/>
        <bgColor rgb="FFEAFAF1"/>
      </patternFill>
    </fill>
    <fill>
      <patternFill patternType="solid">
        <fgColor rgb="FFF7FFEC"/>
        <bgColor rgb="FFF7FFEC"/>
      </patternFill>
    </fill>
    <fill>
      <patternFill patternType="solid">
        <fgColor rgb="FF1F3864"/>
        <bgColor rgb="FF1F3864"/>
      </patternFill>
    </fill>
    <fill>
      <patternFill patternType="solid">
        <fgColor rgb="FFFDE8D8"/>
        <bgColor rgb="FFFDE8D8"/>
      </patternFill>
    </fill>
    <fill>
      <patternFill patternType="solid">
        <fgColor rgb="FFF9EBEA"/>
        <bgColor rgb="FFF9EBEA"/>
      </patternFill>
    </fill>
  </fills>
  <borders count="9">
    <border/>
    <border>
      <left style="thin">
        <color rgb="FFB7B7B7"/>
      </lef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DD7EE"/>
      </left>
      <right style="thin">
        <color rgb="FFBDD7EE"/>
      </right>
      <top style="thin">
        <color rgb="FFBDD7EE"/>
      </top>
      <bottom style="thin">
        <color rgb="FFBDD7EE"/>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2F5496"/>
      </left>
      <right style="thin">
        <color rgb="FF2F5496"/>
      </right>
      <top style="thin">
        <color rgb="FF2F5496"/>
      </top>
      <bottom style="thin">
        <color rgb="FF2F5496"/>
      </bottom>
    </border>
    <border>
      <left/>
      <top/>
      <bottom/>
    </border>
    <border>
      <right/>
      <top/>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164" xfId="0" applyAlignment="1" applyFont="1" applyNumberForma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shrinkToFit="0" wrapText="1"/>
    </xf>
    <xf borderId="1" fillId="0" fontId="2" numFmtId="49" xfId="0" applyAlignment="1" applyBorder="1" applyFont="1" applyNumberFormat="1">
      <alignment horizontal="center" readingOrder="0" shrinkToFit="0" vertical="center" wrapText="0"/>
    </xf>
    <xf borderId="2" fillId="0" fontId="2" numFmtId="49" xfId="0" applyAlignment="1" applyBorder="1" applyFont="1" applyNumberFormat="1">
      <alignment horizontal="center" readingOrder="0" shrinkToFit="0" vertical="center" wrapText="0"/>
    </xf>
    <xf borderId="2" fillId="2" fontId="2" numFmtId="49" xfId="0" applyAlignment="1" applyBorder="1" applyFill="1" applyFont="1" applyNumberFormat="1">
      <alignment horizontal="center" readingOrder="0" shrinkToFit="0" vertical="center" wrapText="0"/>
    </xf>
    <xf borderId="0" fillId="0" fontId="3" numFmtId="0" xfId="0" applyAlignment="1" applyFont="1">
      <alignment shrinkToFit="0" wrapText="0"/>
    </xf>
    <xf borderId="3" fillId="3" fontId="4" numFmtId="165" xfId="0" applyAlignment="1" applyBorder="1" applyFill="1" applyFont="1" applyNumberFormat="1">
      <alignment horizontal="center" readingOrder="0" shrinkToFit="0" vertical="center" wrapText="1"/>
    </xf>
    <xf borderId="3" fillId="3" fontId="4" numFmtId="0" xfId="0" applyAlignment="1" applyBorder="1" applyFont="1">
      <alignment horizontal="center" shrinkToFit="0" vertical="center" wrapText="1"/>
    </xf>
    <xf borderId="3" fillId="3" fontId="4" numFmtId="0" xfId="0" applyAlignment="1" applyBorder="1" applyFont="1">
      <alignment shrinkToFit="0" vertical="center" wrapText="1"/>
    </xf>
    <xf borderId="3" fillId="3" fontId="4" numFmtId="0" xfId="0" applyAlignment="1" applyBorder="1" applyFont="1">
      <alignment readingOrder="0" shrinkToFit="0" vertical="center" wrapText="1"/>
    </xf>
    <xf borderId="3" fillId="4" fontId="5" numFmtId="0" xfId="0" applyAlignment="1" applyBorder="1" applyFill="1" applyFont="1">
      <alignment horizontal="center" shrinkToFit="0" vertical="center" wrapText="1"/>
    </xf>
    <xf borderId="3" fillId="3" fontId="4" numFmtId="0" xfId="0" applyAlignment="1" applyBorder="1" applyFont="1">
      <alignment horizontal="left" shrinkToFit="0" vertical="center" wrapText="1"/>
    </xf>
    <xf borderId="3" fillId="3" fontId="4" numFmtId="0" xfId="0" applyAlignment="1" applyBorder="1" applyFont="1">
      <alignment shrinkToFit="0" vertical="center" wrapText="1"/>
    </xf>
    <xf borderId="3" fillId="5" fontId="6" numFmtId="0" xfId="0" applyAlignment="1" applyBorder="1" applyFill="1" applyFont="1">
      <alignment shrinkToFit="0" vertical="center" wrapText="1"/>
    </xf>
    <xf borderId="3" fillId="3" fontId="4" numFmtId="0" xfId="0" applyAlignment="1" applyBorder="1" applyFont="1">
      <alignment horizontal="left" readingOrder="0" shrinkToFit="0" vertical="center" wrapText="1"/>
    </xf>
    <xf borderId="3" fillId="3" fontId="4" numFmtId="164" xfId="0" applyAlignment="1" applyBorder="1" applyFont="1" applyNumberFormat="1">
      <alignment horizontal="center" readingOrder="0" shrinkToFit="0" vertical="center" wrapText="1"/>
    </xf>
    <xf borderId="0" fillId="0" fontId="7" numFmtId="166" xfId="0" applyAlignment="1" applyFont="1" applyNumberFormat="1">
      <alignment shrinkToFit="0" vertical="center" wrapText="1"/>
    </xf>
    <xf borderId="0" fillId="0" fontId="7" numFmtId="49" xfId="0" applyAlignment="1" applyFont="1" applyNumberFormat="1">
      <alignment shrinkToFit="0" vertical="center" wrapText="1"/>
    </xf>
    <xf borderId="0" fillId="0" fontId="7" numFmtId="0" xfId="0" applyAlignment="1" applyFont="1">
      <alignment shrinkToFit="0" wrapText="0"/>
    </xf>
    <xf borderId="3" fillId="6" fontId="8" numFmtId="165" xfId="0" applyAlignment="1" applyBorder="1" applyFill="1" applyFont="1" applyNumberFormat="1">
      <alignment horizontal="center" readingOrder="0" shrinkToFit="0" vertical="center" wrapText="1"/>
    </xf>
    <xf borderId="3" fillId="6" fontId="8" numFmtId="0" xfId="0" applyAlignment="1" applyBorder="1" applyFont="1">
      <alignment horizontal="center" shrinkToFit="0" vertical="center" wrapText="1"/>
    </xf>
    <xf borderId="3" fillId="6" fontId="8" numFmtId="0" xfId="0" applyAlignment="1" applyBorder="1" applyFont="1">
      <alignment readingOrder="0" shrinkToFit="0" vertical="center" wrapText="1"/>
    </xf>
    <xf borderId="3" fillId="6" fontId="8" numFmtId="0" xfId="0" applyAlignment="1" applyBorder="1" applyFont="1">
      <alignment shrinkToFit="0" vertical="center" wrapText="1"/>
    </xf>
    <xf borderId="3" fillId="6" fontId="8" numFmtId="0" xfId="0" applyAlignment="1" applyBorder="1" applyFont="1">
      <alignment horizontal="center" readingOrder="0" shrinkToFit="0" vertical="center" wrapText="1"/>
    </xf>
    <xf borderId="3" fillId="6" fontId="8" numFmtId="0" xfId="0" applyAlignment="1" applyBorder="1" applyFont="1">
      <alignment horizontal="left" readingOrder="0" shrinkToFit="0" vertical="center" wrapText="1"/>
    </xf>
    <xf borderId="3" fillId="5" fontId="6" numFmtId="0" xfId="0" applyAlignment="1" applyBorder="1" applyFont="1">
      <alignment readingOrder="0" shrinkToFit="0" vertical="center" wrapText="1"/>
    </xf>
    <xf borderId="3" fillId="6" fontId="8" numFmtId="0" xfId="0" applyAlignment="1" applyBorder="1" applyFont="1">
      <alignment horizontal="left" shrinkToFit="0" vertical="center" wrapText="1"/>
    </xf>
    <xf borderId="3" fillId="6" fontId="8" numFmtId="164" xfId="0" applyAlignment="1" applyBorder="1" applyFont="1" applyNumberFormat="1">
      <alignment horizontal="center" shrinkToFit="0" vertical="center" wrapText="1"/>
    </xf>
    <xf borderId="3" fillId="7" fontId="8" numFmtId="0" xfId="0" applyAlignment="1" applyBorder="1" applyFill="1" applyFont="1">
      <alignment horizontal="center" shrinkToFit="0" vertical="center" wrapText="1"/>
    </xf>
    <xf borderId="3" fillId="7" fontId="8" numFmtId="0" xfId="0" applyAlignment="1" applyBorder="1" applyFont="1">
      <alignment shrinkToFit="0" vertical="center" wrapText="1"/>
    </xf>
    <xf borderId="3" fillId="7" fontId="8" numFmtId="0" xfId="0" applyAlignment="1" applyBorder="1" applyFont="1">
      <alignment horizontal="left" shrinkToFit="0" vertical="center" wrapText="1"/>
    </xf>
    <xf borderId="3" fillId="7" fontId="8" numFmtId="164" xfId="0" applyAlignment="1" applyBorder="1" applyFont="1" applyNumberFormat="1">
      <alignment horizontal="center" shrinkToFit="0" vertical="center" wrapText="1"/>
    </xf>
    <xf borderId="0" fillId="0" fontId="7" numFmtId="166" xfId="0" applyAlignment="1" applyFont="1" applyNumberFormat="1">
      <alignment readingOrder="0" shrinkToFit="0" vertical="center" wrapText="0"/>
    </xf>
    <xf borderId="0" fillId="0" fontId="7" numFmtId="49" xfId="0" applyAlignment="1" applyFont="1" applyNumberFormat="1">
      <alignment shrinkToFit="0" vertical="center" wrapText="0"/>
    </xf>
    <xf borderId="3" fillId="3" fontId="4" numFmtId="0" xfId="0" applyAlignment="1" applyBorder="1" applyFont="1">
      <alignment horizontal="center" shrinkToFit="0" vertical="center" wrapText="1"/>
    </xf>
    <xf borderId="3" fillId="3" fontId="9" numFmtId="0" xfId="0" applyAlignment="1" applyBorder="1" applyFont="1">
      <alignment horizontal="center" shrinkToFit="0" vertical="center" wrapText="1"/>
    </xf>
    <xf borderId="3" fillId="3" fontId="4" numFmtId="164" xfId="0" applyAlignment="1" applyBorder="1" applyFont="1" applyNumberFormat="1">
      <alignment horizontal="center" shrinkToFit="0" vertical="center" wrapText="1"/>
    </xf>
    <xf borderId="3" fillId="6" fontId="8" numFmtId="0" xfId="0" applyAlignment="1" applyBorder="1" applyFont="1">
      <alignment horizontal="center" shrinkToFit="0" vertical="center" wrapText="1"/>
    </xf>
    <xf borderId="3" fillId="8" fontId="10" numFmtId="0" xfId="0" applyAlignment="1" applyBorder="1" applyFill="1" applyFont="1">
      <alignment shrinkToFit="0" vertical="center" wrapText="1"/>
    </xf>
    <xf borderId="3" fillId="7" fontId="8" numFmtId="0" xfId="0" applyAlignment="1" applyBorder="1" applyFont="1">
      <alignment shrinkToFit="0" vertical="center" wrapText="1"/>
    </xf>
    <xf borderId="3" fillId="7" fontId="8" numFmtId="0" xfId="0" applyAlignment="1" applyBorder="1" applyFont="1">
      <alignment horizontal="center" shrinkToFit="0" vertical="center" wrapText="1"/>
    </xf>
    <xf borderId="3" fillId="9" fontId="11" numFmtId="0" xfId="0" applyAlignment="1" applyBorder="1" applyFill="1" applyFont="1">
      <alignment shrinkToFit="0" vertical="center" wrapText="1"/>
    </xf>
    <xf borderId="3" fillId="6" fontId="8" numFmtId="0" xfId="0" applyAlignment="1" applyBorder="1" applyFont="1">
      <alignment shrinkToFit="0" vertical="center" wrapText="1"/>
    </xf>
    <xf borderId="0" fillId="0" fontId="7" numFmtId="166" xfId="0" applyAlignment="1" applyFont="1" applyNumberFormat="1">
      <alignment shrinkToFit="0" vertical="center" wrapText="0"/>
    </xf>
    <xf borderId="0" fillId="0" fontId="7" numFmtId="0" xfId="0" applyAlignment="1" applyFont="1">
      <alignment shrinkToFit="0" wrapText="1"/>
    </xf>
    <xf borderId="0" fillId="0" fontId="7" numFmtId="166" xfId="0" applyAlignment="1" applyFont="1" applyNumberFormat="1">
      <alignment shrinkToFit="0" vertical="center" wrapText="1"/>
    </xf>
    <xf borderId="0" fillId="0" fontId="7" numFmtId="166" xfId="0" applyAlignment="1" applyFont="1" applyNumberFormat="1">
      <alignment readingOrder="0" shrinkToFit="0" vertical="center" wrapText="1"/>
    </xf>
    <xf borderId="3" fillId="6" fontId="12" numFmtId="0" xfId="0" applyAlignment="1" applyBorder="1" applyFont="1">
      <alignment horizontal="center" shrinkToFit="0" vertical="center" wrapText="1"/>
    </xf>
    <xf borderId="3" fillId="7" fontId="8" numFmtId="0" xfId="0" applyAlignment="1" applyBorder="1" applyFont="1">
      <alignment readingOrder="0" shrinkToFit="0" vertical="center" wrapText="1"/>
    </xf>
    <xf borderId="3" fillId="9" fontId="11" numFmtId="0" xfId="0" applyAlignment="1" applyBorder="1" applyFont="1">
      <alignment readingOrder="0" shrinkToFit="0" vertical="center" wrapText="1"/>
    </xf>
    <xf borderId="3" fillId="10" fontId="13" numFmtId="0" xfId="0" applyAlignment="1" applyBorder="1" applyFill="1" applyFont="1">
      <alignment horizontal="center" shrinkToFit="0" vertical="center" wrapText="1"/>
    </xf>
    <xf borderId="3" fillId="3" fontId="4" numFmtId="0" xfId="0" applyAlignment="1" applyBorder="1" applyFont="1">
      <alignment horizontal="center" readingOrder="0" shrinkToFit="0" vertical="center" wrapText="1"/>
    </xf>
    <xf borderId="3" fillId="3" fontId="4" numFmtId="0" xfId="0" applyAlignment="1" applyBorder="1" applyFont="1">
      <alignment readingOrder="0" shrinkToFit="0" vertical="center" wrapText="1"/>
    </xf>
    <xf borderId="3" fillId="10" fontId="13" numFmtId="0" xfId="0" applyAlignment="1" applyBorder="1" applyFont="1">
      <alignment horizontal="center" readingOrder="0" shrinkToFit="0" vertical="center" wrapText="1"/>
    </xf>
    <xf borderId="3" fillId="3" fontId="4" numFmtId="0" xfId="0" applyAlignment="1" applyBorder="1" applyFont="1">
      <alignment horizontal="left" readingOrder="0" shrinkToFit="0" vertical="center" wrapText="1"/>
    </xf>
    <xf borderId="3" fillId="6" fontId="8" numFmtId="0" xfId="0" applyAlignment="1" applyBorder="1" applyFont="1">
      <alignment horizontal="center" readingOrder="0" shrinkToFit="0" vertical="center" wrapText="1"/>
    </xf>
    <xf borderId="3" fillId="6" fontId="8" numFmtId="0" xfId="0" applyAlignment="1" applyBorder="1" applyFont="1">
      <alignment readingOrder="0" shrinkToFit="0" vertical="center" wrapText="1"/>
    </xf>
    <xf borderId="3" fillId="6" fontId="8" numFmtId="49" xfId="0" applyAlignment="1" applyBorder="1" applyFont="1" applyNumberFormat="1">
      <alignment horizontal="left" readingOrder="0" shrinkToFit="0" vertical="center" wrapText="1"/>
    </xf>
    <xf borderId="3" fillId="6" fontId="14" numFmtId="165" xfId="0" applyAlignment="1" applyBorder="1" applyFont="1" applyNumberFormat="1">
      <alignment shrinkToFit="0" vertical="center" wrapText="0"/>
    </xf>
    <xf borderId="3" fillId="6" fontId="15" numFmtId="0" xfId="0" applyAlignment="1" applyBorder="1" applyFont="1">
      <alignment horizontal="center" readingOrder="0" shrinkToFit="0" vertical="center" wrapText="1"/>
    </xf>
    <xf borderId="3" fillId="6" fontId="14" numFmtId="0" xfId="0" applyAlignment="1" applyBorder="1" applyFont="1">
      <alignment shrinkToFit="0" vertical="center" wrapText="0"/>
    </xf>
    <xf borderId="3" fillId="6" fontId="14" numFmtId="0" xfId="0" applyAlignment="1" applyBorder="1" applyFont="1">
      <alignment shrinkToFit="0" vertical="center" wrapText="0"/>
    </xf>
    <xf borderId="3" fillId="6" fontId="15" numFmtId="49" xfId="0" applyAlignment="1" applyBorder="1" applyFont="1" applyNumberFormat="1">
      <alignment shrinkToFit="0" vertical="center" wrapText="1"/>
    </xf>
    <xf borderId="3" fillId="6" fontId="15" numFmtId="0" xfId="0" applyAlignment="1" applyBorder="1" applyFont="1">
      <alignment shrinkToFit="0" vertical="center" wrapText="1"/>
    </xf>
    <xf borderId="3" fillId="9" fontId="16" numFmtId="0" xfId="0" applyAlignment="1" applyBorder="1" applyFont="1">
      <alignment shrinkToFit="0" vertical="center" wrapText="1"/>
    </xf>
    <xf borderId="3" fillId="6" fontId="14" numFmtId="164" xfId="0" applyAlignment="1" applyBorder="1" applyFont="1" applyNumberFormat="1">
      <alignment shrinkToFit="0" vertical="center" wrapText="0"/>
    </xf>
    <xf borderId="4" fillId="11" fontId="14" numFmtId="166" xfId="0" applyAlignment="1" applyBorder="1" applyFill="1" applyFont="1" applyNumberFormat="1">
      <alignment shrinkToFit="0" vertical="center" wrapText="0"/>
    </xf>
    <xf borderId="4" fillId="11" fontId="14" numFmtId="49" xfId="0" applyAlignment="1" applyBorder="1" applyFont="1" applyNumberFormat="1">
      <alignment shrinkToFit="0" vertical="center" wrapText="0"/>
    </xf>
    <xf borderId="5" fillId="11" fontId="14" numFmtId="49" xfId="0" applyAlignment="1" applyBorder="1" applyFont="1" applyNumberFormat="1">
      <alignment shrinkToFit="0" vertical="center" wrapText="0"/>
    </xf>
    <xf borderId="0" fillId="0" fontId="14" numFmtId="0" xfId="0" applyAlignment="1" applyFont="1">
      <alignment vertical="bottom"/>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7" numFmtId="49" xfId="0" applyAlignment="1" applyFont="1" applyNumberFormat="1">
      <alignment readingOrder="0"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164" xfId="0" applyAlignment="1" applyFont="1" applyNumberFormat="1">
      <alignment shrinkToFit="0" vertical="center" wrapText="1"/>
    </xf>
    <xf borderId="3" fillId="12" fontId="13" numFmtId="0" xfId="0" applyAlignment="1" applyBorder="1" applyFill="1" applyFont="1">
      <alignment horizontal="center" readingOrder="0" shrinkToFit="0" vertical="center" wrapText="1"/>
    </xf>
    <xf borderId="3" fillId="3" fontId="4" numFmtId="49" xfId="0" applyAlignment="1" applyBorder="1" applyFont="1" applyNumberFormat="1">
      <alignment horizontal="left" readingOrder="0" shrinkToFit="0" vertical="center" wrapText="1"/>
    </xf>
    <xf borderId="3" fillId="3" fontId="17" numFmtId="0" xfId="0" applyAlignment="1" applyBorder="1" applyFont="1">
      <alignment horizontal="left" readingOrder="0" shrinkToFit="0" vertical="center" wrapText="1"/>
    </xf>
    <xf borderId="3" fillId="3" fontId="4" numFmtId="167" xfId="0" applyAlignment="1" applyBorder="1" applyFont="1" applyNumberFormat="1">
      <alignment horizontal="lef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18" numFmtId="0" xfId="0" applyAlignment="1" applyFont="1">
      <alignment horizontal="center" shrinkToFit="0" vertical="center" wrapText="1"/>
    </xf>
    <xf borderId="3" fillId="9" fontId="11" numFmtId="0" xfId="0" applyAlignment="1" applyBorder="1" applyFont="1">
      <alignment readingOrder="0" shrinkToFit="0" vertical="center" wrapText="1"/>
    </xf>
    <xf borderId="0" fillId="0" fontId="7" numFmtId="0" xfId="0" applyAlignment="1" applyFont="1">
      <alignment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0" fillId="0" fontId="7"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shrinkToFit="0" vertical="center" wrapText="0"/>
    </xf>
    <xf borderId="0" fillId="0" fontId="7" numFmtId="0" xfId="0" applyAlignment="1" applyFont="1">
      <alignment horizontal="center" shrinkToFit="0" vertical="center" wrapText="0"/>
    </xf>
    <xf borderId="0" fillId="0" fontId="7" numFmtId="164" xfId="0" applyAlignment="1" applyFont="1" applyNumberFormat="1">
      <alignment shrinkToFit="0" vertical="center" wrapText="0"/>
    </xf>
    <xf borderId="0" fillId="0" fontId="7" numFmtId="166" xfId="0" applyAlignment="1" applyFont="1" applyNumberFormat="1">
      <alignment shrinkToFit="0" vertical="center" wrapText="0"/>
    </xf>
    <xf borderId="0" fillId="0" fontId="7" numFmtId="49" xfId="0" applyAlignment="1" applyFont="1" applyNumberFormat="1">
      <alignment shrinkToFit="0" vertical="center" wrapText="0"/>
    </xf>
    <xf borderId="3" fillId="12" fontId="13" numFmtId="0" xfId="0" applyAlignment="1" applyBorder="1" applyFont="1">
      <alignment horizontal="center" readingOrder="0" shrinkToFit="0" vertical="center" wrapText="1"/>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0" fillId="0" fontId="19" numFmtId="49" xfId="0" applyAlignment="1" applyFont="1" applyNumberFormat="1">
      <alignment readingOrder="0" shrinkToFit="0" vertical="center" wrapText="0"/>
    </xf>
    <xf borderId="0" fillId="0" fontId="19" numFmtId="0" xfId="0" applyAlignment="1" applyFont="1">
      <alignment readingOrder="0" shrinkToFit="0" vertical="center" wrapText="0"/>
    </xf>
    <xf borderId="0" fillId="0" fontId="7" numFmtId="0" xfId="0" applyAlignment="1" applyFont="1">
      <alignment shrinkToFit="0" vertical="center" wrapText="0"/>
    </xf>
    <xf borderId="0" fillId="0" fontId="7" numFmtId="0" xfId="0" applyAlignment="1" applyFont="1">
      <alignment horizontal="center" shrinkToFit="0" vertical="center" wrapText="0"/>
    </xf>
    <xf borderId="0" fillId="0" fontId="7" numFmtId="164" xfId="0" applyAlignment="1" applyFont="1" applyNumberFormat="1">
      <alignment shrinkToFit="0" vertical="center" wrapText="0"/>
    </xf>
    <xf borderId="0" fillId="0" fontId="7"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horizontal="center" readingOrder="0" shrinkToFit="0" vertical="center" wrapText="0"/>
    </xf>
    <xf borderId="0" fillId="13" fontId="7" numFmtId="0" xfId="0" applyAlignment="1" applyFill="1" applyFont="1">
      <alignment shrinkToFit="0" wrapText="0"/>
    </xf>
    <xf borderId="0" fillId="0" fontId="7" numFmtId="0" xfId="0" applyAlignment="1" applyFont="1">
      <alignment shrinkToFit="0" vertical="center" wrapText="1"/>
    </xf>
    <xf borderId="0" fillId="0" fontId="7" numFmtId="0" xfId="0" applyAlignment="1" applyFont="1">
      <alignment horizontal="center" shrinkToFit="0" vertical="center" wrapText="1"/>
    </xf>
    <xf borderId="6" fillId="14" fontId="20" numFmtId="0" xfId="0" applyAlignment="1" applyBorder="1" applyFill="1" applyFont="1">
      <alignment horizontal="center" shrinkToFit="0" vertical="center" wrapText="1"/>
    </xf>
    <xf borderId="3" fillId="3" fontId="4" numFmtId="0" xfId="0" applyAlignment="1" applyBorder="1" applyFont="1">
      <alignment horizontal="left" shrinkToFit="0" vertical="center" wrapText="1"/>
    </xf>
    <xf borderId="3" fillId="5" fontId="6" numFmtId="0" xfId="0" applyAlignment="1" applyBorder="1" applyFont="1">
      <alignment horizontal="center" shrinkToFit="0" vertical="center" wrapText="1"/>
    </xf>
    <xf borderId="3" fillId="6" fontId="8" numFmtId="0" xfId="0" applyAlignment="1" applyBorder="1" applyFont="1">
      <alignment horizontal="left" shrinkToFit="0" vertical="center" wrapText="1"/>
    </xf>
    <xf borderId="3" fillId="7" fontId="8" numFmtId="0" xfId="0" applyAlignment="1" applyBorder="1" applyFont="1">
      <alignment horizontal="left" shrinkToFit="0" vertical="center" wrapText="1"/>
    </xf>
    <xf borderId="3" fillId="8" fontId="10" numFmtId="0" xfId="0" applyAlignment="1" applyBorder="1" applyFont="1">
      <alignment horizontal="center" shrinkToFit="0" vertical="center" wrapText="1"/>
    </xf>
    <xf borderId="3" fillId="9" fontId="11" numFmtId="0" xfId="0" applyAlignment="1" applyBorder="1" applyFont="1">
      <alignment horizontal="center" shrinkToFit="0" vertical="center" wrapText="1"/>
    </xf>
    <xf borderId="7" fillId="14" fontId="21" numFmtId="0" xfId="0" applyAlignment="1" applyBorder="1" applyFont="1">
      <alignment horizontal="center" shrinkToFit="0" vertical="center" wrapText="1"/>
    </xf>
    <xf borderId="8" fillId="0" fontId="22" numFmtId="0" xfId="0" applyBorder="1" applyFont="1"/>
    <xf borderId="3" fillId="5" fontId="23" numFmtId="0" xfId="0" applyAlignment="1" applyBorder="1" applyFont="1">
      <alignment horizontal="center" shrinkToFit="0" vertical="center" wrapText="1"/>
    </xf>
    <xf borderId="0" fillId="0" fontId="24" numFmtId="0" xfId="0" applyAlignment="1" applyFont="1">
      <alignment readingOrder="0" shrinkToFit="0" wrapText="1"/>
    </xf>
    <xf borderId="0" fillId="0" fontId="24" numFmtId="0" xfId="0" applyAlignment="1" applyFont="1">
      <alignment shrinkToFit="0" wrapText="1"/>
    </xf>
    <xf borderId="3" fillId="9" fontId="25" numFmtId="0" xfId="0" applyAlignment="1" applyBorder="1" applyFont="1">
      <alignment horizontal="center" shrinkToFit="0" vertical="center" wrapText="1"/>
    </xf>
    <xf borderId="3" fillId="15" fontId="26" numFmtId="0" xfId="0" applyAlignment="1" applyBorder="1" applyFill="1" applyFont="1">
      <alignment horizontal="center" shrinkToFit="0" vertical="center" wrapText="1"/>
    </xf>
    <xf borderId="3" fillId="8" fontId="27" numFmtId="0" xfId="0" applyAlignment="1" applyBorder="1" applyFont="1">
      <alignment horizontal="center" shrinkToFit="0" vertical="center" wrapText="1"/>
    </xf>
    <xf borderId="3" fillId="16" fontId="28" numFmtId="0" xfId="0" applyAlignment="1" applyBorder="1" applyFill="1" applyFont="1">
      <alignment horizontal="center" shrinkToFit="0" vertical="center" wrapText="1"/>
    </xf>
    <xf borderId="7" fillId="14" fontId="20" numFmtId="0" xfId="0" applyAlignment="1" applyBorder="1" applyFont="1">
      <alignment horizontal="center" shrinkToFit="0" vertical="center" wrapText="1"/>
    </xf>
    <xf borderId="3" fillId="10" fontId="28" numFmtId="0" xfId="0" applyAlignment="1" applyBorder="1" applyFont="1">
      <alignment horizontal="center" shrinkToFit="0" vertical="center" wrapText="1"/>
    </xf>
    <xf borderId="3" fillId="4" fontId="29" numFmtId="0" xfId="0" applyAlignment="1" applyBorder="1" applyFont="1">
      <alignment horizontal="center" shrinkToFit="0" vertical="center" wrapText="1"/>
    </xf>
    <xf borderId="3" fillId="12" fontId="27" numFmtId="0" xfId="0" applyAlignment="1" applyBorder="1" applyFont="1">
      <alignment horizontal="center"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4D7F0"/>
          <bgColor rgb="FFD4D7F0"/>
        </patternFill>
      </fill>
      <border/>
    </dxf>
    <dxf>
      <border>
        <left style="thin">
          <color rgb="FF535FC1"/>
        </left>
        <right style="thin">
          <color rgb="FF535FC1"/>
        </right>
        <top style="thin">
          <color rgb="FF535FC1"/>
        </top>
        <bottom style="thin">
          <color rgb="FF535FC1"/>
        </bottom>
      </border>
    </dxf>
  </dxfs>
  <tableStyles count="1">
    <tableStyle count="5" pivot="0" name="Seguimiento temas-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rge Rios" id="{b1dd74d2-3db1-448c-8065-f7b90c5f1064}" providerId="google-sheets"/>
</x18tc:personList>
</file>

<file path=xl/tables/table1.xml><?xml version="1.0" encoding="utf-8"?>
<table xmlns="http://schemas.openxmlformats.org/spreadsheetml/2006/main" totalsRowCount="1" ref="A2:Q67" displayName="Tareas_y_temas" name="Tareas_y_temas" id="1">
  <autoFilter ref="$A$2:$Q$67"/>
  <tableColumns count="17">
    <tableColumn name="Fecha" id="1"/>
    <tableColumn name="Nivel" id="2"/>
    <tableColumn name="ID Tema" id="3"/>
    <tableColumn name="Tipo de tema" id="4"/>
    <tableColumn name="Solicitante" id="5"/>
    <tableColumn name="Importancia" id="6"/>
    <tableColumn name="Tarea / Tema" id="7"/>
    <tableColumn name="Responsable" id="8"/>
    <tableColumn name="Estado" id="9"/>
    <tableColumn name="Expediente" id="10"/>
    <tableColumn name="Link" id="11"/>
    <tableColumn name="Fecha de inicio" id="12"/>
    <tableColumn name="Fecha de finalización" id="13"/>
    <tableColumn name="Última actualización" id="14"/>
    <tableColumn name="Fecha última act" id="15"/>
    <tableColumn name="Distribuible" id="16"/>
    <tableColumn name="Notas" id="17"/>
  </tableColumns>
  <tableStyleInfo name="Seguimiento tem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 dT="2026-05-20T12:10:42.00" personId="{b1dd74d2-3db1-448c-8065-f7b90c5f1064}" id="{33be7404-5f08-45d8-97fb-5491a5958f2b}" done="1">
    <x18tc:text xml:space="preserve">abrir 3 filas una por cada convenio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5FC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5"/>
    <col customWidth="1" min="2" max="3" width="9.75"/>
    <col customWidth="1" min="4" max="4" width="19.75"/>
    <col customWidth="1" min="5" max="5" width="29.13"/>
    <col customWidth="1" min="6" max="6" width="16.13"/>
    <col customWidth="1" min="7" max="7" width="67.88"/>
    <col customWidth="1" min="8" max="8" width="21.0"/>
    <col customWidth="1" min="9" max="9" width="17.13"/>
    <col customWidth="1" min="10" max="10" width="39.5"/>
    <col customWidth="1" min="11" max="11" width="14.63"/>
    <col customWidth="1" min="12" max="12" width="14.0"/>
    <col customWidth="1" min="13" max="13" width="23.88"/>
    <col customWidth="1" min="14" max="14" width="32.38"/>
    <col customWidth="1" min="15" max="15" width="19.38"/>
    <col customWidth="1" min="16" max="16" width="22.63"/>
    <col customWidth="1" min="17" max="17" width="15.13"/>
  </cols>
  <sheetData>
    <row r="1">
      <c r="A1" s="1"/>
      <c r="B1" s="1"/>
      <c r="C1" s="1"/>
      <c r="D1" s="2"/>
      <c r="E1" s="3"/>
      <c r="F1" s="2"/>
      <c r="G1" s="2"/>
      <c r="H1" s="2"/>
      <c r="I1" s="2"/>
      <c r="J1" s="4"/>
      <c r="K1" s="5"/>
      <c r="L1" s="2"/>
      <c r="M1" s="2"/>
      <c r="N1" s="4"/>
      <c r="O1" s="4"/>
      <c r="P1" s="4"/>
      <c r="Q1" s="4"/>
      <c r="R1" s="6"/>
      <c r="S1" s="6"/>
    </row>
    <row r="2" ht="26.25" customHeight="1">
      <c r="A2" s="7" t="s">
        <v>0</v>
      </c>
      <c r="B2" s="7" t="s">
        <v>1</v>
      </c>
      <c r="C2" s="7" t="s">
        <v>2</v>
      </c>
      <c r="D2" s="8" t="s">
        <v>3</v>
      </c>
      <c r="E2" s="8" t="s">
        <v>4</v>
      </c>
      <c r="F2" s="8" t="s">
        <v>5</v>
      </c>
      <c r="G2" s="8" t="s">
        <v>6</v>
      </c>
      <c r="H2" s="7" t="s">
        <v>7</v>
      </c>
      <c r="I2" s="8" t="s">
        <v>8</v>
      </c>
      <c r="J2" s="7" t="s">
        <v>9</v>
      </c>
      <c r="K2" s="7" t="s">
        <v>10</v>
      </c>
      <c r="L2" s="7" t="s">
        <v>11</v>
      </c>
      <c r="M2" s="9" t="s">
        <v>12</v>
      </c>
      <c r="N2" s="8" t="s">
        <v>13</v>
      </c>
      <c r="O2" s="8" t="s">
        <v>14</v>
      </c>
      <c r="P2" s="8" t="s">
        <v>15</v>
      </c>
      <c r="Q2" s="7" t="s">
        <v>16</v>
      </c>
      <c r="R2" s="10"/>
      <c r="S2" s="10"/>
    </row>
    <row r="3" ht="37.5" customHeight="1">
      <c r="A3" s="11">
        <v>46146.0</v>
      </c>
      <c r="B3" s="12" t="s">
        <v>17</v>
      </c>
      <c r="C3" s="12" t="s">
        <v>18</v>
      </c>
      <c r="D3" s="13" t="s">
        <v>19</v>
      </c>
      <c r="E3" s="14" t="s">
        <v>20</v>
      </c>
      <c r="F3" s="15" t="s">
        <v>21</v>
      </c>
      <c r="G3" s="16" t="s">
        <v>22</v>
      </c>
      <c r="H3" s="17" t="s">
        <v>23</v>
      </c>
      <c r="I3" s="18" t="s">
        <v>24</v>
      </c>
      <c r="J3" s="19"/>
      <c r="K3" s="12" t="str">
        <f t="shared" ref="K3:K28" si="1">IF(J3="","",IF(J3="N/A","",HYPERLINK("https://eue.gde.gob.ar/expedientes-web/buzonesYConsultas.zul?idUser&amp;numeroConsulta="&amp;SUBSTITUTE(SUBSTITUTE(SUBSTITUTE(SUBSTITUTE(J3," - ","-")," - ","-")," ","+" ),"#","%23"),"GDE")))</f>
        <v/>
      </c>
      <c r="L3" s="20">
        <v>46146.0</v>
      </c>
      <c r="M3" s="20">
        <v>46234.0</v>
      </c>
      <c r="N3" s="19" t="s">
        <v>25</v>
      </c>
      <c r="O3" s="21"/>
      <c r="P3" s="22"/>
      <c r="Q3" s="22"/>
      <c r="R3" s="23"/>
      <c r="S3" s="23"/>
    </row>
    <row r="4" ht="37.5" customHeight="1">
      <c r="A4" s="24">
        <v>46146.0</v>
      </c>
      <c r="B4" s="25" t="s">
        <v>26</v>
      </c>
      <c r="C4" s="25" t="s">
        <v>18</v>
      </c>
      <c r="D4" s="26"/>
      <c r="E4" s="27"/>
      <c r="F4" s="28"/>
      <c r="G4" s="29" t="s">
        <v>27</v>
      </c>
      <c r="H4" s="27" t="s">
        <v>23</v>
      </c>
      <c r="I4" s="30" t="s">
        <v>28</v>
      </c>
      <c r="J4" s="31"/>
      <c r="K4" s="25" t="str">
        <f t="shared" si="1"/>
        <v/>
      </c>
      <c r="L4" s="32"/>
      <c r="M4" s="32"/>
      <c r="N4" s="31"/>
      <c r="O4" s="21"/>
      <c r="P4" s="22"/>
      <c r="Q4" s="22"/>
      <c r="R4" s="23"/>
      <c r="S4" s="23"/>
    </row>
    <row r="5" ht="37.5" customHeight="1">
      <c r="A5" s="24">
        <v>46146.0</v>
      </c>
      <c r="B5" s="33" t="s">
        <v>26</v>
      </c>
      <c r="C5" s="33" t="s">
        <v>18</v>
      </c>
      <c r="D5" s="26"/>
      <c r="E5" s="34"/>
      <c r="F5" s="28"/>
      <c r="G5" s="35" t="s">
        <v>29</v>
      </c>
      <c r="H5" s="34" t="s">
        <v>23</v>
      </c>
      <c r="I5" s="18" t="s">
        <v>24</v>
      </c>
      <c r="J5" s="35"/>
      <c r="K5" s="33" t="str">
        <f t="shared" si="1"/>
        <v/>
      </c>
      <c r="L5" s="36"/>
      <c r="M5" s="36"/>
      <c r="N5" s="35"/>
      <c r="O5" s="21"/>
      <c r="P5" s="22"/>
      <c r="Q5" s="22"/>
      <c r="R5" s="23"/>
      <c r="S5" s="23"/>
    </row>
    <row r="6" ht="37.5" customHeight="1">
      <c r="A6" s="24">
        <v>46146.0</v>
      </c>
      <c r="B6" s="25" t="s">
        <v>26</v>
      </c>
      <c r="C6" s="25" t="s">
        <v>18</v>
      </c>
      <c r="D6" s="26"/>
      <c r="E6" s="27"/>
      <c r="F6" s="28"/>
      <c r="G6" s="31" t="s">
        <v>30</v>
      </c>
      <c r="H6" s="27" t="s">
        <v>23</v>
      </c>
      <c r="I6" s="30" t="s">
        <v>31</v>
      </c>
      <c r="J6" s="31"/>
      <c r="K6" s="25" t="str">
        <f t="shared" si="1"/>
        <v/>
      </c>
      <c r="L6" s="32"/>
      <c r="M6" s="32"/>
      <c r="N6" s="31"/>
      <c r="O6" s="37"/>
      <c r="P6" s="38"/>
      <c r="Q6" s="38"/>
      <c r="R6" s="23"/>
      <c r="S6" s="23"/>
    </row>
    <row r="7" ht="37.5" customHeight="1">
      <c r="A7" s="11">
        <v>46161.0</v>
      </c>
      <c r="B7" s="12" t="s">
        <v>17</v>
      </c>
      <c r="C7" s="12" t="s">
        <v>32</v>
      </c>
      <c r="D7" s="13" t="s">
        <v>33</v>
      </c>
      <c r="E7" s="17" t="s">
        <v>34</v>
      </c>
      <c r="F7" s="39"/>
      <c r="G7" s="16" t="s">
        <v>35</v>
      </c>
      <c r="H7" s="17" t="s">
        <v>36</v>
      </c>
      <c r="I7" s="18" t="s">
        <v>24</v>
      </c>
      <c r="J7" s="16" t="s">
        <v>37</v>
      </c>
      <c r="K7" s="40" t="str">
        <f t="shared" si="1"/>
        <v>GDE</v>
      </c>
      <c r="L7" s="41"/>
      <c r="M7" s="41"/>
      <c r="N7" s="16"/>
      <c r="O7" s="21"/>
      <c r="P7" s="22"/>
      <c r="Q7" s="22"/>
      <c r="R7" s="23"/>
      <c r="S7" s="23"/>
    </row>
    <row r="8" ht="37.5" customHeight="1">
      <c r="A8" s="25"/>
      <c r="B8" s="25" t="s">
        <v>26</v>
      </c>
      <c r="C8" s="25" t="s">
        <v>32</v>
      </c>
      <c r="D8" s="26"/>
      <c r="E8" s="27"/>
      <c r="F8" s="42"/>
      <c r="G8" s="31" t="s">
        <v>38</v>
      </c>
      <c r="H8" s="27" t="s">
        <v>39</v>
      </c>
      <c r="I8" s="43" t="s">
        <v>28</v>
      </c>
      <c r="J8" s="31"/>
      <c r="K8" s="25" t="str">
        <f t="shared" si="1"/>
        <v/>
      </c>
      <c r="L8" s="32"/>
      <c r="M8" s="32"/>
      <c r="N8" s="31"/>
      <c r="O8" s="21"/>
      <c r="P8" s="22"/>
      <c r="Q8" s="22"/>
      <c r="R8" s="23"/>
      <c r="S8" s="23"/>
    </row>
    <row r="9" ht="37.5" customHeight="1">
      <c r="A9" s="33"/>
      <c r="B9" s="33" t="s">
        <v>26</v>
      </c>
      <c r="C9" s="33" t="s">
        <v>32</v>
      </c>
      <c r="D9" s="44"/>
      <c r="E9" s="34"/>
      <c r="F9" s="45"/>
      <c r="G9" s="35" t="s">
        <v>40</v>
      </c>
      <c r="H9" s="34" t="s">
        <v>41</v>
      </c>
      <c r="I9" s="46" t="s">
        <v>42</v>
      </c>
      <c r="J9" s="35"/>
      <c r="K9" s="33" t="str">
        <f t="shared" si="1"/>
        <v/>
      </c>
      <c r="L9" s="36"/>
      <c r="M9" s="36"/>
      <c r="N9" s="35"/>
      <c r="O9" s="21"/>
      <c r="P9" s="22"/>
      <c r="Q9" s="22"/>
      <c r="R9" s="23"/>
      <c r="S9" s="23"/>
    </row>
    <row r="10" ht="37.5" customHeight="1">
      <c r="A10" s="25"/>
      <c r="B10" s="25" t="s">
        <v>26</v>
      </c>
      <c r="C10" s="25" t="s">
        <v>32</v>
      </c>
      <c r="D10" s="47"/>
      <c r="E10" s="27"/>
      <c r="F10" s="42"/>
      <c r="G10" s="31" t="s">
        <v>43</v>
      </c>
      <c r="H10" s="27" t="s">
        <v>39</v>
      </c>
      <c r="I10" s="18" t="s">
        <v>24</v>
      </c>
      <c r="J10" s="31"/>
      <c r="K10" s="25" t="str">
        <f t="shared" si="1"/>
        <v/>
      </c>
      <c r="L10" s="32"/>
      <c r="M10" s="32"/>
      <c r="N10" s="31"/>
      <c r="O10" s="48"/>
      <c r="P10" s="38"/>
      <c r="Q10" s="38"/>
      <c r="R10" s="23"/>
      <c r="S10" s="23"/>
    </row>
    <row r="11" ht="37.5" customHeight="1">
      <c r="A11" s="11">
        <v>46161.0</v>
      </c>
      <c r="B11" s="12" t="s">
        <v>17</v>
      </c>
      <c r="C11" s="12" t="s">
        <v>44</v>
      </c>
      <c r="D11" s="13" t="s">
        <v>33</v>
      </c>
      <c r="E11" s="17" t="s">
        <v>45</v>
      </c>
      <c r="F11" s="39"/>
      <c r="G11" s="16" t="s">
        <v>46</v>
      </c>
      <c r="H11" s="17" t="s">
        <v>36</v>
      </c>
      <c r="I11" s="18" t="s">
        <v>24</v>
      </c>
      <c r="J11" s="16"/>
      <c r="K11" s="12" t="str">
        <f t="shared" si="1"/>
        <v/>
      </c>
      <c r="L11" s="41"/>
      <c r="M11" s="41"/>
      <c r="N11" s="16"/>
      <c r="O11" s="21"/>
      <c r="P11" s="22"/>
      <c r="Q11" s="22"/>
      <c r="R11" s="23"/>
      <c r="S11" s="23"/>
    </row>
    <row r="12" ht="37.5" customHeight="1">
      <c r="A12" s="25"/>
      <c r="B12" s="25" t="s">
        <v>26</v>
      </c>
      <c r="C12" s="25" t="s">
        <v>44</v>
      </c>
      <c r="D12" s="47"/>
      <c r="E12" s="27"/>
      <c r="F12" s="42"/>
      <c r="G12" s="31" t="s">
        <v>47</v>
      </c>
      <c r="H12" s="27" t="s">
        <v>39</v>
      </c>
      <c r="I12" s="18" t="s">
        <v>24</v>
      </c>
      <c r="J12" s="31"/>
      <c r="K12" s="25" t="str">
        <f t="shared" si="1"/>
        <v/>
      </c>
      <c r="L12" s="32"/>
      <c r="M12" s="32"/>
      <c r="N12" s="31"/>
      <c r="O12" s="21"/>
      <c r="P12" s="22"/>
      <c r="Q12" s="22"/>
      <c r="R12" s="23"/>
      <c r="S12" s="23"/>
    </row>
    <row r="13" ht="37.5" customHeight="1">
      <c r="A13" s="33"/>
      <c r="B13" s="33" t="s">
        <v>26</v>
      </c>
      <c r="C13" s="33" t="s">
        <v>44</v>
      </c>
      <c r="D13" s="44"/>
      <c r="E13" s="34"/>
      <c r="F13" s="45"/>
      <c r="G13" s="35" t="s">
        <v>48</v>
      </c>
      <c r="H13" s="34" t="s">
        <v>41</v>
      </c>
      <c r="I13" s="18" t="s">
        <v>24</v>
      </c>
      <c r="J13" s="35"/>
      <c r="K13" s="33" t="str">
        <f t="shared" si="1"/>
        <v/>
      </c>
      <c r="L13" s="36"/>
      <c r="M13" s="36"/>
      <c r="N13" s="35"/>
      <c r="O13" s="21"/>
      <c r="P13" s="22"/>
      <c r="Q13" s="22"/>
      <c r="R13" s="49"/>
      <c r="S13" s="49"/>
    </row>
    <row r="14" ht="37.5" customHeight="1">
      <c r="A14" s="25"/>
      <c r="B14" s="25" t="s">
        <v>26</v>
      </c>
      <c r="C14" s="25" t="s">
        <v>44</v>
      </c>
      <c r="D14" s="47"/>
      <c r="E14" s="27"/>
      <c r="F14" s="42"/>
      <c r="G14" s="31" t="s">
        <v>49</v>
      </c>
      <c r="H14" s="27" t="s">
        <v>39</v>
      </c>
      <c r="I14" s="18" t="s">
        <v>24</v>
      </c>
      <c r="J14" s="31"/>
      <c r="K14" s="25" t="str">
        <f t="shared" si="1"/>
        <v/>
      </c>
      <c r="L14" s="32"/>
      <c r="M14" s="32"/>
      <c r="N14" s="31"/>
      <c r="O14" s="21"/>
      <c r="P14" s="22"/>
      <c r="Q14" s="22"/>
      <c r="R14" s="49"/>
      <c r="S14" s="49"/>
    </row>
    <row r="15" ht="37.5" customHeight="1">
      <c r="A15" s="11">
        <v>46161.0</v>
      </c>
      <c r="B15" s="12" t="s">
        <v>17</v>
      </c>
      <c r="C15" s="12" t="s">
        <v>50</v>
      </c>
      <c r="D15" s="13" t="s">
        <v>33</v>
      </c>
      <c r="E15" s="17" t="s">
        <v>51</v>
      </c>
      <c r="F15" s="39"/>
      <c r="G15" s="16" t="s">
        <v>52</v>
      </c>
      <c r="H15" s="17" t="s">
        <v>36</v>
      </c>
      <c r="I15" s="18" t="s">
        <v>24</v>
      </c>
      <c r="J15" s="16"/>
      <c r="K15" s="12" t="str">
        <f t="shared" si="1"/>
        <v/>
      </c>
      <c r="L15" s="41"/>
      <c r="M15" s="41"/>
      <c r="N15" s="16"/>
      <c r="O15" s="21"/>
      <c r="P15" s="22"/>
      <c r="Q15" s="22"/>
      <c r="R15" s="49"/>
      <c r="S15" s="49"/>
    </row>
    <row r="16" ht="37.5" customHeight="1">
      <c r="A16" s="25"/>
      <c r="B16" s="25" t="s">
        <v>26</v>
      </c>
      <c r="C16" s="25" t="s">
        <v>50</v>
      </c>
      <c r="D16" s="47"/>
      <c r="E16" s="27"/>
      <c r="F16" s="42"/>
      <c r="G16" s="31" t="s">
        <v>53</v>
      </c>
      <c r="H16" s="27" t="s">
        <v>39</v>
      </c>
      <c r="I16" s="18" t="s">
        <v>24</v>
      </c>
      <c r="J16" s="31"/>
      <c r="K16" s="25" t="str">
        <f t="shared" si="1"/>
        <v/>
      </c>
      <c r="L16" s="32"/>
      <c r="M16" s="32"/>
      <c r="N16" s="31"/>
      <c r="O16" s="50"/>
      <c r="P16" s="22"/>
      <c r="Q16" s="22"/>
      <c r="R16" s="23"/>
      <c r="S16" s="23"/>
    </row>
    <row r="17" ht="37.5" customHeight="1">
      <c r="A17" s="33"/>
      <c r="B17" s="33" t="s">
        <v>26</v>
      </c>
      <c r="C17" s="33" t="s">
        <v>50</v>
      </c>
      <c r="D17" s="44"/>
      <c r="E17" s="34"/>
      <c r="F17" s="45"/>
      <c r="G17" s="35" t="s">
        <v>54</v>
      </c>
      <c r="H17" s="34" t="s">
        <v>39</v>
      </c>
      <c r="I17" s="18" t="s">
        <v>24</v>
      </c>
      <c r="J17" s="35"/>
      <c r="K17" s="33" t="str">
        <f t="shared" si="1"/>
        <v/>
      </c>
      <c r="L17" s="36"/>
      <c r="M17" s="36"/>
      <c r="N17" s="35"/>
      <c r="O17" s="21"/>
      <c r="P17" s="22"/>
      <c r="Q17" s="22"/>
      <c r="R17" s="23"/>
      <c r="S17" s="23"/>
    </row>
    <row r="18" ht="37.5" customHeight="1">
      <c r="A18" s="25"/>
      <c r="B18" s="25" t="s">
        <v>26</v>
      </c>
      <c r="C18" s="25" t="s">
        <v>50</v>
      </c>
      <c r="D18" s="47"/>
      <c r="E18" s="27"/>
      <c r="F18" s="42"/>
      <c r="G18" s="31" t="s">
        <v>55</v>
      </c>
      <c r="H18" s="27" t="s">
        <v>39</v>
      </c>
      <c r="I18" s="18" t="s">
        <v>24</v>
      </c>
      <c r="J18" s="31"/>
      <c r="K18" s="25" t="str">
        <f t="shared" si="1"/>
        <v/>
      </c>
      <c r="L18" s="32"/>
      <c r="M18" s="32"/>
      <c r="N18" s="31"/>
      <c r="O18" s="51"/>
      <c r="P18" s="22"/>
      <c r="Q18" s="22"/>
      <c r="R18" s="23"/>
      <c r="S18" s="23"/>
    </row>
    <row r="19" ht="37.5" customHeight="1">
      <c r="A19" s="11">
        <v>46161.0</v>
      </c>
      <c r="B19" s="12" t="s">
        <v>17</v>
      </c>
      <c r="C19" s="12" t="s">
        <v>56</v>
      </c>
      <c r="D19" s="13" t="s">
        <v>33</v>
      </c>
      <c r="E19" s="17" t="s">
        <v>57</v>
      </c>
      <c r="F19" s="39"/>
      <c r="G19" s="16" t="s">
        <v>58</v>
      </c>
      <c r="H19" s="17" t="s">
        <v>36</v>
      </c>
      <c r="I19" s="46" t="s">
        <v>42</v>
      </c>
      <c r="J19" s="19" t="s">
        <v>59</v>
      </c>
      <c r="K19" s="40" t="str">
        <f t="shared" si="1"/>
        <v>GDE</v>
      </c>
      <c r="L19" s="41"/>
      <c r="M19" s="41"/>
      <c r="N19" s="16"/>
      <c r="O19" s="51"/>
      <c r="P19" s="22"/>
      <c r="Q19" s="22"/>
      <c r="R19" s="23"/>
      <c r="S19" s="23"/>
    </row>
    <row r="20" ht="37.5" customHeight="1">
      <c r="A20" s="25"/>
      <c r="B20" s="25" t="s">
        <v>26</v>
      </c>
      <c r="C20" s="25" t="s">
        <v>56</v>
      </c>
      <c r="D20" s="47"/>
      <c r="E20" s="27"/>
      <c r="F20" s="42"/>
      <c r="G20" s="31" t="s">
        <v>60</v>
      </c>
      <c r="H20" s="27" t="s">
        <v>39</v>
      </c>
      <c r="I20" s="46" t="s">
        <v>42</v>
      </c>
      <c r="J20" s="31" t="s">
        <v>61</v>
      </c>
      <c r="K20" s="52" t="str">
        <f t="shared" si="1"/>
        <v>GDE</v>
      </c>
      <c r="L20" s="32"/>
      <c r="M20" s="32"/>
      <c r="N20" s="31"/>
      <c r="O20" s="21"/>
      <c r="P20" s="22"/>
      <c r="Q20" s="22"/>
      <c r="R20" s="23"/>
      <c r="S20" s="23"/>
    </row>
    <row r="21" ht="37.5" customHeight="1">
      <c r="A21" s="33"/>
      <c r="B21" s="33" t="s">
        <v>26</v>
      </c>
      <c r="C21" s="33" t="s">
        <v>56</v>
      </c>
      <c r="D21" s="44"/>
      <c r="E21" s="34"/>
      <c r="F21" s="45"/>
      <c r="G21" s="35" t="s">
        <v>62</v>
      </c>
      <c r="H21" s="53" t="s">
        <v>63</v>
      </c>
      <c r="I21" s="54" t="s">
        <v>31</v>
      </c>
      <c r="J21" s="35"/>
      <c r="K21" s="33" t="str">
        <f t="shared" si="1"/>
        <v/>
      </c>
      <c r="L21" s="36"/>
      <c r="M21" s="36"/>
      <c r="N21" s="35"/>
      <c r="O21" s="21"/>
      <c r="P21" s="22"/>
      <c r="Q21" s="22"/>
      <c r="R21" s="23"/>
      <c r="S21" s="23"/>
    </row>
    <row r="22" ht="37.5" customHeight="1">
      <c r="A22" s="25"/>
      <c r="B22" s="25" t="s">
        <v>26</v>
      </c>
      <c r="C22" s="25" t="s">
        <v>56</v>
      </c>
      <c r="D22" s="47"/>
      <c r="E22" s="27"/>
      <c r="F22" s="42"/>
      <c r="G22" s="31" t="s">
        <v>64</v>
      </c>
      <c r="H22" s="27" t="s">
        <v>41</v>
      </c>
      <c r="I22" s="30" t="s">
        <v>31</v>
      </c>
      <c r="J22" s="31"/>
      <c r="K22" s="25" t="str">
        <f t="shared" si="1"/>
        <v/>
      </c>
      <c r="L22" s="32"/>
      <c r="M22" s="32"/>
      <c r="N22" s="31"/>
      <c r="O22" s="21"/>
      <c r="P22" s="22"/>
      <c r="Q22" s="22"/>
      <c r="R22" s="23"/>
      <c r="S22" s="23"/>
    </row>
    <row r="23" ht="37.5" customHeight="1">
      <c r="A23" s="11">
        <v>46161.0</v>
      </c>
      <c r="B23" s="12" t="s">
        <v>17</v>
      </c>
      <c r="C23" s="12" t="s">
        <v>65</v>
      </c>
      <c r="D23" s="13" t="s">
        <v>33</v>
      </c>
      <c r="E23" s="17" t="s">
        <v>66</v>
      </c>
      <c r="F23" s="55" t="s">
        <v>67</v>
      </c>
      <c r="G23" s="16" t="s">
        <v>68</v>
      </c>
      <c r="H23" s="17" t="s">
        <v>69</v>
      </c>
      <c r="I23" s="46" t="s">
        <v>42</v>
      </c>
      <c r="J23" s="16"/>
      <c r="K23" s="12" t="str">
        <f t="shared" si="1"/>
        <v/>
      </c>
      <c r="L23" s="41"/>
      <c r="M23" s="41"/>
      <c r="N23" s="16"/>
      <c r="O23" s="21"/>
      <c r="P23" s="22"/>
      <c r="Q23" s="22"/>
      <c r="R23" s="23"/>
      <c r="S23" s="23"/>
    </row>
    <row r="24" ht="37.5" customHeight="1">
      <c r="A24" s="25"/>
      <c r="B24" s="25" t="s">
        <v>26</v>
      </c>
      <c r="C24" s="25" t="s">
        <v>65</v>
      </c>
      <c r="D24" s="47"/>
      <c r="E24" s="27"/>
      <c r="F24" s="42"/>
      <c r="G24" s="31" t="s">
        <v>70</v>
      </c>
      <c r="H24" s="27" t="s">
        <v>69</v>
      </c>
      <c r="I24" s="46" t="s">
        <v>42</v>
      </c>
      <c r="J24" s="31"/>
      <c r="K24" s="25" t="str">
        <f t="shared" si="1"/>
        <v/>
      </c>
      <c r="L24" s="32"/>
      <c r="M24" s="32"/>
      <c r="N24" s="31"/>
      <c r="O24" s="21"/>
      <c r="P24" s="22"/>
      <c r="Q24" s="22"/>
      <c r="R24" s="23"/>
      <c r="S24" s="23"/>
    </row>
    <row r="25" ht="37.5" customHeight="1">
      <c r="A25" s="11">
        <v>46161.0</v>
      </c>
      <c r="B25" s="12" t="s">
        <v>17</v>
      </c>
      <c r="C25" s="12" t="s">
        <v>71</v>
      </c>
      <c r="D25" s="13" t="s">
        <v>72</v>
      </c>
      <c r="E25" s="17" t="s">
        <v>73</v>
      </c>
      <c r="F25" s="55" t="s">
        <v>67</v>
      </c>
      <c r="G25" s="16" t="s">
        <v>74</v>
      </c>
      <c r="H25" s="17" t="s">
        <v>75</v>
      </c>
      <c r="I25" s="46" t="s">
        <v>42</v>
      </c>
      <c r="J25" s="16"/>
      <c r="K25" s="12" t="str">
        <f t="shared" si="1"/>
        <v/>
      </c>
      <c r="L25" s="41"/>
      <c r="M25" s="41"/>
      <c r="N25" s="16"/>
      <c r="O25" s="21"/>
      <c r="P25" s="22"/>
      <c r="Q25" s="22"/>
      <c r="R25" s="23"/>
      <c r="S25" s="23"/>
    </row>
    <row r="26" ht="37.5" customHeight="1">
      <c r="A26" s="25"/>
      <c r="B26" s="25" t="s">
        <v>26</v>
      </c>
      <c r="C26" s="25" t="s">
        <v>71</v>
      </c>
      <c r="D26" s="47"/>
      <c r="E26" s="27"/>
      <c r="F26" s="42"/>
      <c r="G26" s="31" t="s">
        <v>76</v>
      </c>
      <c r="H26" s="27" t="s">
        <v>77</v>
      </c>
      <c r="I26" s="46" t="s">
        <v>42</v>
      </c>
      <c r="J26" s="31"/>
      <c r="K26" s="25" t="str">
        <f t="shared" si="1"/>
        <v/>
      </c>
      <c r="L26" s="32"/>
      <c r="M26" s="32"/>
      <c r="N26" s="31"/>
      <c r="O26" s="51"/>
      <c r="P26" s="22"/>
      <c r="Q26" s="22"/>
      <c r="R26" s="23"/>
      <c r="S26" s="23"/>
    </row>
    <row r="27" ht="37.5" customHeight="1">
      <c r="A27" s="33"/>
      <c r="B27" s="33" t="s">
        <v>26</v>
      </c>
      <c r="C27" s="33" t="s">
        <v>71</v>
      </c>
      <c r="D27" s="44"/>
      <c r="E27" s="34"/>
      <c r="F27" s="45"/>
      <c r="G27" s="35" t="s">
        <v>78</v>
      </c>
      <c r="H27" s="34" t="s">
        <v>77</v>
      </c>
      <c r="I27" s="46" t="s">
        <v>42</v>
      </c>
      <c r="J27" s="35"/>
      <c r="K27" s="33" t="str">
        <f t="shared" si="1"/>
        <v/>
      </c>
      <c r="L27" s="36"/>
      <c r="M27" s="36"/>
      <c r="N27" s="35"/>
      <c r="O27" s="21"/>
      <c r="P27" s="22"/>
      <c r="Q27" s="22"/>
      <c r="R27" s="49"/>
      <c r="S27" s="49"/>
    </row>
    <row r="28" ht="37.5" customHeight="1">
      <c r="A28" s="25"/>
      <c r="B28" s="25" t="s">
        <v>26</v>
      </c>
      <c r="C28" s="25" t="s">
        <v>71</v>
      </c>
      <c r="D28" s="47"/>
      <c r="E28" s="27"/>
      <c r="F28" s="42"/>
      <c r="G28" s="31" t="s">
        <v>79</v>
      </c>
      <c r="H28" s="27" t="s">
        <v>80</v>
      </c>
      <c r="I28" s="46" t="s">
        <v>42</v>
      </c>
      <c r="J28" s="31"/>
      <c r="K28" s="25" t="str">
        <f t="shared" si="1"/>
        <v/>
      </c>
      <c r="L28" s="32"/>
      <c r="M28" s="32"/>
      <c r="N28" s="31"/>
      <c r="O28" s="21"/>
      <c r="P28" s="22"/>
      <c r="Q28" s="22"/>
      <c r="R28" s="49"/>
      <c r="S28" s="49"/>
    </row>
    <row r="29" ht="37.5" customHeight="1">
      <c r="A29" s="11">
        <v>46162.0</v>
      </c>
      <c r="B29" s="12" t="s">
        <v>17</v>
      </c>
      <c r="C29" s="56" t="s">
        <v>81</v>
      </c>
      <c r="D29" s="57" t="s">
        <v>82</v>
      </c>
      <c r="E29" s="14" t="s">
        <v>83</v>
      </c>
      <c r="F29" s="58" t="s">
        <v>67</v>
      </c>
      <c r="G29" s="59" t="s">
        <v>84</v>
      </c>
      <c r="H29" s="14" t="s">
        <v>85</v>
      </c>
      <c r="I29" s="54" t="s">
        <v>42</v>
      </c>
      <c r="J29" s="16"/>
      <c r="K29" s="12"/>
      <c r="L29" s="41"/>
      <c r="M29" s="41"/>
      <c r="N29" s="16"/>
      <c r="O29" s="21"/>
      <c r="P29" s="22"/>
      <c r="Q29" s="22"/>
      <c r="R29" s="23"/>
      <c r="S29" s="23"/>
    </row>
    <row r="30" ht="37.5" customHeight="1">
      <c r="A30" s="25"/>
      <c r="B30" s="33" t="s">
        <v>26</v>
      </c>
      <c r="C30" s="60"/>
      <c r="D30" s="47"/>
      <c r="E30" s="27"/>
      <c r="F30" s="42"/>
      <c r="G30" s="29" t="s">
        <v>86</v>
      </c>
      <c r="H30" s="61" t="s">
        <v>85</v>
      </c>
      <c r="I30" s="54" t="s">
        <v>42</v>
      </c>
      <c r="J30" s="31"/>
      <c r="K30" s="25"/>
      <c r="L30" s="32"/>
      <c r="M30" s="32"/>
      <c r="N30" s="31"/>
      <c r="O30" s="51"/>
      <c r="P30" s="22"/>
      <c r="Q30" s="22"/>
      <c r="R30" s="23"/>
      <c r="S30" s="23"/>
    </row>
    <row r="31" ht="37.5" customHeight="1">
      <c r="A31" s="25"/>
      <c r="B31" s="33" t="s">
        <v>26</v>
      </c>
      <c r="C31" s="60"/>
      <c r="D31" s="47"/>
      <c r="E31" s="27"/>
      <c r="F31" s="42"/>
      <c r="G31" s="62" t="s">
        <v>87</v>
      </c>
      <c r="H31" s="61" t="s">
        <v>88</v>
      </c>
      <c r="I31" s="54" t="s">
        <v>42</v>
      </c>
      <c r="J31" s="31"/>
      <c r="K31" s="25"/>
      <c r="L31" s="32"/>
      <c r="M31" s="32"/>
      <c r="N31" s="31"/>
      <c r="O31" s="51"/>
      <c r="P31" s="22"/>
      <c r="Q31" s="22"/>
      <c r="R31" s="23"/>
      <c r="S31" s="23"/>
    </row>
    <row r="32" ht="37.5" customHeight="1">
      <c r="A32" s="25"/>
      <c r="B32" s="33" t="s">
        <v>26</v>
      </c>
      <c r="C32" s="60"/>
      <c r="D32" s="47"/>
      <c r="E32" s="27"/>
      <c r="F32" s="42"/>
      <c r="G32" s="62" t="s">
        <v>89</v>
      </c>
      <c r="H32" s="61" t="s">
        <v>85</v>
      </c>
      <c r="I32" s="54" t="s">
        <v>31</v>
      </c>
      <c r="J32" s="31"/>
      <c r="K32" s="25"/>
      <c r="L32" s="32"/>
      <c r="M32" s="32"/>
      <c r="N32" s="31"/>
      <c r="O32" s="51"/>
      <c r="P32" s="22"/>
      <c r="Q32" s="22"/>
      <c r="R32" s="23"/>
      <c r="S32" s="23"/>
    </row>
    <row r="33" ht="37.5" customHeight="1">
      <c r="A33" s="11">
        <v>46162.0</v>
      </c>
      <c r="B33" s="12" t="s">
        <v>17</v>
      </c>
      <c r="C33" s="56" t="s">
        <v>90</v>
      </c>
      <c r="D33" s="57" t="s">
        <v>82</v>
      </c>
      <c r="E33" s="17"/>
      <c r="F33" s="58" t="s">
        <v>67</v>
      </c>
      <c r="G33" s="59" t="s">
        <v>91</v>
      </c>
      <c r="H33" s="17"/>
      <c r="I33" s="46"/>
      <c r="J33" s="16"/>
      <c r="K33" s="12"/>
      <c r="L33" s="41"/>
      <c r="M33" s="41"/>
      <c r="N33" s="16"/>
      <c r="O33" s="21"/>
      <c r="P33" s="22"/>
      <c r="Q33" s="22"/>
      <c r="R33" s="23"/>
      <c r="S33" s="23"/>
    </row>
    <row r="34" ht="37.5" customHeight="1">
      <c r="A34" s="63"/>
      <c r="B34" s="33" t="s">
        <v>26</v>
      </c>
      <c r="C34" s="64"/>
      <c r="D34" s="65"/>
      <c r="E34" s="66"/>
      <c r="F34" s="65"/>
      <c r="G34" s="67"/>
      <c r="H34" s="68"/>
      <c r="I34" s="69"/>
      <c r="J34" s="66"/>
      <c r="K34" s="66"/>
      <c r="L34" s="70"/>
      <c r="M34" s="70"/>
      <c r="N34" s="66"/>
      <c r="O34" s="71"/>
      <c r="P34" s="72"/>
      <c r="Q34" s="73"/>
      <c r="R34" s="74"/>
      <c r="S34" s="74"/>
    </row>
    <row r="35" ht="37.5" customHeight="1">
      <c r="A35" s="11">
        <v>46162.0</v>
      </c>
      <c r="B35" s="12" t="s">
        <v>17</v>
      </c>
      <c r="C35" s="56" t="s">
        <v>92</v>
      </c>
      <c r="D35" s="57" t="s">
        <v>82</v>
      </c>
      <c r="E35" s="17"/>
      <c r="F35" s="58" t="s">
        <v>21</v>
      </c>
      <c r="G35" s="59" t="s">
        <v>93</v>
      </c>
      <c r="H35" s="17"/>
      <c r="I35" s="46"/>
      <c r="J35" s="16"/>
      <c r="K35" s="12"/>
      <c r="L35" s="41"/>
      <c r="M35" s="41"/>
      <c r="N35" s="16"/>
      <c r="O35" s="21"/>
      <c r="P35" s="22"/>
      <c r="Q35" s="22"/>
      <c r="R35" s="49"/>
      <c r="S35" s="49"/>
    </row>
    <row r="36" ht="37.5" customHeight="1">
      <c r="A36" s="75"/>
      <c r="B36" s="33" t="s">
        <v>26</v>
      </c>
      <c r="C36" s="75"/>
      <c r="D36" s="76"/>
      <c r="E36" s="77"/>
      <c r="F36" s="76"/>
      <c r="G36" s="78"/>
      <c r="H36" s="75"/>
      <c r="I36" s="76"/>
      <c r="J36" s="79"/>
      <c r="K36" s="80" t="str">
        <f t="shared" ref="K36:K66" si="2">IF(J36="","",IF(J36="N/A","",HYPERLINK("https://eue.gde.gob.ar/expedientes-web/buzonesYConsultas.zul?idUser&amp;numeroConsulta="&amp;SUBSTITUTE(SUBSTITUTE(SUBSTITUTE(SUBSTITUTE(J36," - ","-")," - ","-")," ","+" ),"#","%23"),"GDE")))</f>
        <v/>
      </c>
      <c r="L36" s="81"/>
      <c r="M36" s="81"/>
      <c r="N36" s="79"/>
      <c r="O36" s="21"/>
      <c r="P36" s="22"/>
      <c r="Q36" s="22"/>
      <c r="R36" s="49"/>
      <c r="S36" s="49"/>
    </row>
    <row r="37" ht="37.5" customHeight="1">
      <c r="A37" s="11">
        <v>46156.0</v>
      </c>
      <c r="B37" s="12" t="s">
        <v>17</v>
      </c>
      <c r="C37" s="56" t="s">
        <v>94</v>
      </c>
      <c r="D37" s="57" t="s">
        <v>95</v>
      </c>
      <c r="E37" s="14" t="s">
        <v>96</v>
      </c>
      <c r="F37" s="82" t="s">
        <v>97</v>
      </c>
      <c r="G37" s="83" t="s">
        <v>98</v>
      </c>
      <c r="H37" s="14" t="s">
        <v>99</v>
      </c>
      <c r="I37" s="54" t="s">
        <v>100</v>
      </c>
      <c r="J37" s="84"/>
      <c r="K37" s="12" t="str">
        <f t="shared" si="2"/>
        <v/>
      </c>
      <c r="L37" s="41"/>
      <c r="M37" s="41"/>
      <c r="N37" s="85">
        <v>46170.0</v>
      </c>
      <c r="O37" s="21"/>
      <c r="P37" s="22"/>
      <c r="Q37" s="22"/>
      <c r="R37" s="23"/>
      <c r="S37" s="23"/>
    </row>
    <row r="38" ht="72.75" customHeight="1">
      <c r="A38" s="75"/>
      <c r="B38" s="33" t="s">
        <v>26</v>
      </c>
      <c r="C38" s="75"/>
      <c r="D38" s="76"/>
      <c r="E38" s="77"/>
      <c r="F38" s="76"/>
      <c r="G38" s="78" t="s">
        <v>101</v>
      </c>
      <c r="H38" s="75"/>
      <c r="I38" s="86" t="s">
        <v>100</v>
      </c>
      <c r="J38" s="79"/>
      <c r="K38" s="80" t="str">
        <f t="shared" si="2"/>
        <v/>
      </c>
      <c r="L38" s="81"/>
      <c r="M38" s="81"/>
      <c r="N38" s="79"/>
      <c r="O38" s="21"/>
      <c r="P38" s="22"/>
      <c r="Q38" s="22"/>
      <c r="R38" s="49"/>
      <c r="S38" s="49"/>
    </row>
    <row r="39" ht="72.75" customHeight="1">
      <c r="A39" s="11">
        <v>46157.0</v>
      </c>
      <c r="B39" s="56" t="s">
        <v>17</v>
      </c>
      <c r="C39" s="56" t="s">
        <v>102</v>
      </c>
      <c r="D39" s="57" t="s">
        <v>103</v>
      </c>
      <c r="E39" s="14"/>
      <c r="F39" s="82" t="s">
        <v>21</v>
      </c>
      <c r="G39" s="83" t="s">
        <v>104</v>
      </c>
      <c r="H39" s="14" t="s">
        <v>105</v>
      </c>
      <c r="I39" s="54" t="s">
        <v>24</v>
      </c>
      <c r="J39" s="84"/>
      <c r="K39" s="12" t="str">
        <f t="shared" si="2"/>
        <v/>
      </c>
      <c r="L39" s="41"/>
      <c r="M39" s="41"/>
      <c r="N39" s="85">
        <v>46170.0</v>
      </c>
      <c r="O39" s="21"/>
      <c r="P39" s="22"/>
      <c r="Q39" s="22"/>
      <c r="R39" s="23"/>
      <c r="S39" s="23"/>
    </row>
    <row r="40" ht="72.75" customHeight="1">
      <c r="A40" s="75"/>
      <c r="B40" s="33" t="s">
        <v>26</v>
      </c>
      <c r="C40" s="87" t="s">
        <v>102</v>
      </c>
      <c r="D40" s="76"/>
      <c r="E40" s="77"/>
      <c r="F40" s="76"/>
      <c r="G40" s="78" t="s">
        <v>106</v>
      </c>
      <c r="H40" s="77"/>
      <c r="I40" s="86" t="s">
        <v>42</v>
      </c>
      <c r="J40" s="87" t="s">
        <v>107</v>
      </c>
      <c r="K40" s="88" t="str">
        <f t="shared" si="2"/>
        <v>GDE</v>
      </c>
      <c r="L40" s="81"/>
      <c r="M40" s="81"/>
      <c r="N40" s="79"/>
      <c r="O40" s="21"/>
      <c r="P40" s="22"/>
      <c r="Q40" s="22"/>
      <c r="R40" s="49"/>
      <c r="S40" s="49"/>
    </row>
    <row r="41" ht="72.75" customHeight="1">
      <c r="A41" s="75"/>
      <c r="B41" s="33" t="s">
        <v>26</v>
      </c>
      <c r="C41" s="87" t="s">
        <v>102</v>
      </c>
      <c r="D41" s="76"/>
      <c r="E41" s="77"/>
      <c r="F41" s="76"/>
      <c r="G41" s="78" t="s">
        <v>108</v>
      </c>
      <c r="H41" s="75"/>
      <c r="I41" s="86" t="s">
        <v>42</v>
      </c>
      <c r="J41" s="87" t="s">
        <v>109</v>
      </c>
      <c r="K41" s="88" t="str">
        <f t="shared" si="2"/>
        <v>GDE</v>
      </c>
      <c r="L41" s="81"/>
      <c r="M41" s="81"/>
      <c r="N41" s="79"/>
      <c r="O41" s="21"/>
      <c r="P41" s="22"/>
      <c r="Q41" s="22"/>
      <c r="R41" s="49"/>
      <c r="S41" s="49"/>
    </row>
    <row r="42" ht="72.75" customHeight="1">
      <c r="A42" s="11">
        <v>46174.0</v>
      </c>
      <c r="B42" s="56" t="s">
        <v>17</v>
      </c>
      <c r="C42" s="56" t="s">
        <v>110</v>
      </c>
      <c r="D42" s="57" t="s">
        <v>95</v>
      </c>
      <c r="E42" s="14" t="s">
        <v>111</v>
      </c>
      <c r="F42" s="82" t="s">
        <v>21</v>
      </c>
      <c r="G42" s="83" t="s">
        <v>112</v>
      </c>
      <c r="H42" s="14" t="s">
        <v>113</v>
      </c>
      <c r="I42" s="89"/>
      <c r="J42" s="84"/>
      <c r="K42" s="12" t="str">
        <f t="shared" si="2"/>
        <v/>
      </c>
      <c r="L42" s="41"/>
      <c r="M42" s="41"/>
      <c r="N42" s="85"/>
      <c r="O42" s="21"/>
      <c r="P42" s="22"/>
      <c r="Q42" s="22"/>
      <c r="R42" s="23"/>
      <c r="S42" s="23"/>
    </row>
    <row r="43" ht="18.0" customHeight="1">
      <c r="A43" s="90"/>
      <c r="B43" s="33" t="s">
        <v>26</v>
      </c>
      <c r="C43" s="87" t="s">
        <v>102</v>
      </c>
      <c r="D43" s="91"/>
      <c r="E43" s="92"/>
      <c r="F43" s="91"/>
      <c r="G43" s="93" t="s">
        <v>114</v>
      </c>
      <c r="H43" s="92" t="s">
        <v>77</v>
      </c>
      <c r="I43" s="94" t="s">
        <v>42</v>
      </c>
      <c r="J43" s="95"/>
      <c r="K43" s="96" t="str">
        <f t="shared" si="2"/>
        <v/>
      </c>
      <c r="L43" s="97"/>
      <c r="M43" s="97"/>
      <c r="N43" s="95"/>
      <c r="O43" s="98"/>
      <c r="P43" s="99"/>
      <c r="Q43" s="99"/>
      <c r="R43" s="49"/>
      <c r="S43" s="49"/>
    </row>
    <row r="44" ht="18.0" customHeight="1">
      <c r="A44" s="90"/>
      <c r="B44" s="33" t="s">
        <v>26</v>
      </c>
      <c r="C44" s="87" t="s">
        <v>102</v>
      </c>
      <c r="D44" s="91"/>
      <c r="E44" s="92"/>
      <c r="F44" s="91"/>
      <c r="G44" s="93" t="s">
        <v>115</v>
      </c>
      <c r="H44" s="92" t="s">
        <v>23</v>
      </c>
      <c r="I44" s="94" t="s">
        <v>31</v>
      </c>
      <c r="J44" s="95"/>
      <c r="K44" s="96" t="str">
        <f t="shared" si="2"/>
        <v/>
      </c>
      <c r="L44" s="97"/>
      <c r="M44" s="97"/>
      <c r="N44" s="95"/>
      <c r="O44" s="98"/>
      <c r="P44" s="99"/>
      <c r="Q44" s="99"/>
      <c r="R44" s="49"/>
      <c r="S44" s="49"/>
    </row>
    <row r="45" ht="72.75" customHeight="1">
      <c r="A45" s="11">
        <v>46177.0</v>
      </c>
      <c r="B45" s="56" t="s">
        <v>17</v>
      </c>
      <c r="C45" s="56" t="s">
        <v>116</v>
      </c>
      <c r="D45" s="57" t="s">
        <v>19</v>
      </c>
      <c r="E45" s="14"/>
      <c r="F45" s="100" t="s">
        <v>21</v>
      </c>
      <c r="G45" s="83" t="s">
        <v>117</v>
      </c>
      <c r="H45" s="14" t="s">
        <v>23</v>
      </c>
      <c r="I45" s="89"/>
      <c r="J45" s="84"/>
      <c r="K45" s="12" t="str">
        <f t="shared" si="2"/>
        <v/>
      </c>
      <c r="L45" s="41"/>
      <c r="M45" s="41"/>
      <c r="N45" s="85"/>
      <c r="O45" s="21"/>
      <c r="P45" s="22"/>
      <c r="Q45" s="22"/>
      <c r="R45" s="23"/>
      <c r="S45" s="23"/>
    </row>
    <row r="46" ht="18.0" customHeight="1">
      <c r="A46" s="90"/>
      <c r="B46" s="90"/>
      <c r="C46" s="90"/>
      <c r="D46" s="91"/>
      <c r="E46" s="92"/>
      <c r="F46" s="91"/>
      <c r="G46" s="93"/>
      <c r="H46" s="92"/>
      <c r="I46" s="91"/>
      <c r="J46" s="95"/>
      <c r="K46" s="96" t="str">
        <f t="shared" si="2"/>
        <v/>
      </c>
      <c r="L46" s="97"/>
      <c r="M46" s="97"/>
      <c r="N46" s="95"/>
      <c r="O46" s="98"/>
      <c r="P46" s="99"/>
      <c r="Q46" s="99"/>
      <c r="R46" s="49"/>
      <c r="S46" s="49"/>
    </row>
    <row r="47" ht="18.0" customHeight="1">
      <c r="A47" s="90"/>
      <c r="B47" s="90"/>
      <c r="C47" s="90"/>
      <c r="D47" s="91"/>
      <c r="E47" s="92"/>
      <c r="F47" s="91"/>
      <c r="G47" s="93"/>
      <c r="H47" s="92"/>
      <c r="I47" s="91"/>
      <c r="J47" s="95"/>
      <c r="K47" s="96" t="str">
        <f t="shared" si="2"/>
        <v/>
      </c>
      <c r="L47" s="97"/>
      <c r="M47" s="97"/>
      <c r="N47" s="95"/>
      <c r="O47" s="98"/>
      <c r="P47" s="99"/>
      <c r="Q47" s="99"/>
      <c r="R47" s="49"/>
      <c r="S47" s="49"/>
    </row>
    <row r="48" ht="18.0" customHeight="1">
      <c r="A48" s="101"/>
      <c r="B48" s="101"/>
      <c r="C48" s="101"/>
      <c r="D48" s="102"/>
      <c r="E48" s="101"/>
      <c r="F48" s="102"/>
      <c r="G48" s="103"/>
      <c r="H48" s="104"/>
      <c r="I48" s="102"/>
      <c r="J48" s="105"/>
      <c r="K48" s="106" t="str">
        <f t="shared" si="2"/>
        <v/>
      </c>
      <c r="L48" s="107"/>
      <c r="M48" s="107"/>
      <c r="N48" s="105"/>
      <c r="O48" s="37"/>
      <c r="P48" s="38"/>
      <c r="Q48" s="38"/>
      <c r="R48" s="49"/>
      <c r="S48" s="49"/>
    </row>
    <row r="49" ht="18.0" customHeight="1">
      <c r="A49" s="101"/>
      <c r="B49" s="101"/>
      <c r="C49" s="101"/>
      <c r="D49" s="102"/>
      <c r="E49" s="101"/>
      <c r="F49" s="102"/>
      <c r="G49" s="108"/>
      <c r="H49" s="101"/>
      <c r="I49" s="102"/>
      <c r="J49" s="109"/>
      <c r="K49" s="110" t="str">
        <f t="shared" si="2"/>
        <v/>
      </c>
      <c r="L49" s="107"/>
      <c r="M49" s="107"/>
      <c r="N49" s="109"/>
      <c r="O49" s="48"/>
      <c r="P49" s="38"/>
      <c r="Q49" s="38"/>
      <c r="R49" s="49"/>
      <c r="S49" s="49"/>
    </row>
    <row r="50" ht="18.0" customHeight="1">
      <c r="A50" s="101"/>
      <c r="B50" s="101"/>
      <c r="C50" s="101"/>
      <c r="D50" s="102"/>
      <c r="E50" s="101"/>
      <c r="F50" s="102"/>
      <c r="G50" s="103"/>
      <c r="H50" s="104"/>
      <c r="I50" s="102"/>
      <c r="J50" s="109"/>
      <c r="K50" s="110" t="str">
        <f t="shared" si="2"/>
        <v/>
      </c>
      <c r="L50" s="107"/>
      <c r="M50" s="107"/>
      <c r="N50" s="109"/>
      <c r="O50" s="37"/>
      <c r="P50" s="38"/>
      <c r="Q50" s="38"/>
      <c r="R50" s="49"/>
      <c r="S50" s="49"/>
    </row>
    <row r="51" ht="18.0" customHeight="1">
      <c r="A51" s="101"/>
      <c r="B51" s="101"/>
      <c r="C51" s="101"/>
      <c r="D51" s="102"/>
      <c r="E51" s="101"/>
      <c r="F51" s="102"/>
      <c r="G51" s="108"/>
      <c r="H51" s="101"/>
      <c r="I51" s="102"/>
      <c r="J51" s="109"/>
      <c r="K51" s="110" t="str">
        <f t="shared" si="2"/>
        <v/>
      </c>
      <c r="L51" s="107"/>
      <c r="M51" s="107"/>
      <c r="N51" s="109"/>
      <c r="O51" s="37"/>
      <c r="P51" s="38"/>
      <c r="Q51" s="38"/>
      <c r="R51" s="23"/>
      <c r="S51" s="23"/>
    </row>
    <row r="52" ht="18.0" customHeight="1">
      <c r="A52" s="101"/>
      <c r="B52" s="101"/>
      <c r="C52" s="101"/>
      <c r="D52" s="102"/>
      <c r="E52" s="101"/>
      <c r="F52" s="102"/>
      <c r="G52" s="108"/>
      <c r="H52" s="101"/>
      <c r="I52" s="102"/>
      <c r="J52" s="109"/>
      <c r="K52" s="110" t="str">
        <f t="shared" si="2"/>
        <v/>
      </c>
      <c r="L52" s="107"/>
      <c r="M52" s="107"/>
      <c r="N52" s="109"/>
      <c r="O52" s="37"/>
      <c r="P52" s="38"/>
      <c r="Q52" s="38"/>
      <c r="R52" s="23"/>
      <c r="S52" s="23"/>
    </row>
    <row r="53" ht="18.0" customHeight="1">
      <c r="A53" s="101"/>
      <c r="B53" s="101"/>
      <c r="C53" s="101"/>
      <c r="D53" s="102"/>
      <c r="E53" s="101"/>
      <c r="F53" s="102"/>
      <c r="G53" s="108"/>
      <c r="H53" s="101"/>
      <c r="I53" s="102"/>
      <c r="J53" s="109"/>
      <c r="K53" s="110" t="str">
        <f t="shared" si="2"/>
        <v/>
      </c>
      <c r="L53" s="107"/>
      <c r="M53" s="107"/>
      <c r="N53" s="109"/>
      <c r="O53" s="37"/>
      <c r="P53" s="38"/>
      <c r="Q53" s="38"/>
      <c r="R53" s="23"/>
      <c r="S53" s="23"/>
    </row>
    <row r="54" ht="18.0" customHeight="1">
      <c r="A54" s="101"/>
      <c r="B54" s="101"/>
      <c r="C54" s="101"/>
      <c r="D54" s="102"/>
      <c r="E54" s="101"/>
      <c r="F54" s="102"/>
      <c r="G54" s="108"/>
      <c r="H54" s="101"/>
      <c r="I54" s="102"/>
      <c r="J54" s="109"/>
      <c r="K54" s="110" t="str">
        <f t="shared" si="2"/>
        <v/>
      </c>
      <c r="L54" s="107"/>
      <c r="M54" s="107"/>
      <c r="N54" s="109"/>
      <c r="O54" s="37"/>
      <c r="P54" s="38"/>
      <c r="Q54" s="38"/>
      <c r="R54" s="23"/>
      <c r="S54" s="23"/>
    </row>
    <row r="55" ht="18.0" customHeight="1">
      <c r="A55" s="101"/>
      <c r="B55" s="101"/>
      <c r="C55" s="101"/>
      <c r="D55" s="102"/>
      <c r="E55" s="101"/>
      <c r="F55" s="102"/>
      <c r="G55" s="108"/>
      <c r="H55" s="101"/>
      <c r="I55" s="102"/>
      <c r="J55" s="109"/>
      <c r="K55" s="110" t="str">
        <f t="shared" si="2"/>
        <v/>
      </c>
      <c r="L55" s="107"/>
      <c r="M55" s="107"/>
      <c r="N55" s="109"/>
      <c r="O55" s="37"/>
      <c r="P55" s="38"/>
      <c r="Q55" s="38"/>
      <c r="R55" s="111"/>
      <c r="S55" s="111"/>
    </row>
    <row r="56" ht="18.0" customHeight="1">
      <c r="A56" s="101"/>
      <c r="B56" s="101"/>
      <c r="C56" s="101"/>
      <c r="D56" s="102"/>
      <c r="E56" s="101"/>
      <c r="F56" s="102"/>
      <c r="G56" s="108"/>
      <c r="H56" s="101"/>
      <c r="I56" s="102"/>
      <c r="J56" s="109"/>
      <c r="K56" s="110" t="str">
        <f t="shared" si="2"/>
        <v/>
      </c>
      <c r="L56" s="107"/>
      <c r="M56" s="107"/>
      <c r="N56" s="109"/>
      <c r="O56" s="37"/>
      <c r="P56" s="38"/>
      <c r="Q56" s="38"/>
      <c r="R56" s="111"/>
      <c r="S56" s="111"/>
    </row>
    <row r="57" ht="18.0" customHeight="1">
      <c r="A57" s="101"/>
      <c r="B57" s="101"/>
      <c r="C57" s="101"/>
      <c r="D57" s="102"/>
      <c r="E57" s="101"/>
      <c r="F57" s="102"/>
      <c r="G57" s="108"/>
      <c r="H57" s="101"/>
      <c r="I57" s="102"/>
      <c r="J57" s="109"/>
      <c r="K57" s="110" t="str">
        <f t="shared" si="2"/>
        <v/>
      </c>
      <c r="L57" s="107"/>
      <c r="M57" s="107"/>
      <c r="N57" s="109"/>
      <c r="O57" s="37"/>
      <c r="P57" s="38"/>
      <c r="Q57" s="38"/>
      <c r="R57" s="23"/>
      <c r="S57" s="23"/>
    </row>
    <row r="58" ht="18.0" customHeight="1">
      <c r="A58" s="101"/>
      <c r="B58" s="101"/>
      <c r="C58" s="101"/>
      <c r="D58" s="102"/>
      <c r="E58" s="101"/>
      <c r="F58" s="102"/>
      <c r="G58" s="108"/>
      <c r="H58" s="101"/>
      <c r="I58" s="102"/>
      <c r="J58" s="105"/>
      <c r="K58" s="106" t="str">
        <f t="shared" si="2"/>
        <v/>
      </c>
      <c r="L58" s="107"/>
      <c r="M58" s="107"/>
      <c r="N58" s="105"/>
      <c r="O58" s="37"/>
      <c r="P58" s="38"/>
      <c r="Q58" s="38"/>
      <c r="R58" s="23"/>
      <c r="S58" s="23"/>
    </row>
    <row r="59" ht="18.0" customHeight="1">
      <c r="A59" s="75"/>
      <c r="B59" s="75"/>
      <c r="C59" s="75"/>
      <c r="D59" s="76"/>
      <c r="E59" s="77"/>
      <c r="F59" s="76"/>
      <c r="G59" s="78"/>
      <c r="H59" s="75"/>
      <c r="I59" s="76"/>
      <c r="J59" s="79"/>
      <c r="K59" s="80" t="str">
        <f t="shared" si="2"/>
        <v/>
      </c>
      <c r="L59" s="81"/>
      <c r="M59" s="81"/>
      <c r="N59" s="79"/>
      <c r="O59" s="21"/>
      <c r="P59" s="22"/>
      <c r="Q59" s="22"/>
      <c r="R59" s="23"/>
      <c r="S59" s="23"/>
    </row>
    <row r="60" ht="18.0" customHeight="1">
      <c r="A60" s="75"/>
      <c r="B60" s="75"/>
      <c r="C60" s="75"/>
      <c r="D60" s="76"/>
      <c r="E60" s="77"/>
      <c r="F60" s="76"/>
      <c r="G60" s="78"/>
      <c r="H60" s="75"/>
      <c r="I60" s="76"/>
      <c r="J60" s="79"/>
      <c r="K60" s="80" t="str">
        <f t="shared" si="2"/>
        <v/>
      </c>
      <c r="L60" s="81"/>
      <c r="M60" s="81"/>
      <c r="N60" s="79"/>
      <c r="O60" s="21"/>
      <c r="P60" s="22"/>
      <c r="Q60" s="22"/>
      <c r="R60" s="23"/>
      <c r="S60" s="23"/>
    </row>
    <row r="61" ht="18.0" customHeight="1">
      <c r="A61" s="75"/>
      <c r="B61" s="75"/>
      <c r="C61" s="75"/>
      <c r="D61" s="76"/>
      <c r="E61" s="77"/>
      <c r="F61" s="76"/>
      <c r="G61" s="78"/>
      <c r="H61" s="75"/>
      <c r="I61" s="76"/>
      <c r="J61" s="79"/>
      <c r="K61" s="80" t="str">
        <f t="shared" si="2"/>
        <v/>
      </c>
      <c r="L61" s="81"/>
      <c r="M61" s="81"/>
      <c r="N61" s="79"/>
      <c r="O61" s="21"/>
      <c r="P61" s="22"/>
      <c r="Q61" s="22"/>
      <c r="R61" s="23"/>
      <c r="S61" s="23"/>
    </row>
    <row r="62" ht="18.0" customHeight="1">
      <c r="A62" s="75"/>
      <c r="B62" s="75"/>
      <c r="C62" s="75"/>
      <c r="D62" s="76"/>
      <c r="E62" s="77"/>
      <c r="F62" s="76"/>
      <c r="G62" s="78"/>
      <c r="H62" s="75"/>
      <c r="I62" s="76"/>
      <c r="J62" s="79"/>
      <c r="K62" s="80" t="str">
        <f t="shared" si="2"/>
        <v/>
      </c>
      <c r="L62" s="81"/>
      <c r="M62" s="81"/>
      <c r="N62" s="79"/>
      <c r="O62" s="21"/>
      <c r="P62" s="22"/>
      <c r="Q62" s="22"/>
      <c r="R62" s="23"/>
      <c r="S62" s="23"/>
    </row>
    <row r="63" ht="18.0" customHeight="1">
      <c r="A63" s="75"/>
      <c r="B63" s="75"/>
      <c r="C63" s="75"/>
      <c r="D63" s="76"/>
      <c r="E63" s="77"/>
      <c r="F63" s="76"/>
      <c r="G63" s="78"/>
      <c r="H63" s="75"/>
      <c r="I63" s="76"/>
      <c r="J63" s="79"/>
      <c r="K63" s="80" t="str">
        <f t="shared" si="2"/>
        <v/>
      </c>
      <c r="L63" s="81"/>
      <c r="M63" s="81"/>
      <c r="N63" s="79"/>
      <c r="O63" s="21"/>
      <c r="P63" s="22"/>
      <c r="Q63" s="22"/>
      <c r="R63" s="23"/>
      <c r="S63" s="23"/>
    </row>
    <row r="64" ht="18.0" customHeight="1">
      <c r="A64" s="75"/>
      <c r="B64" s="75"/>
      <c r="C64" s="75"/>
      <c r="D64" s="76"/>
      <c r="E64" s="77"/>
      <c r="F64" s="76"/>
      <c r="G64" s="78"/>
      <c r="H64" s="75"/>
      <c r="I64" s="76"/>
      <c r="J64" s="79"/>
      <c r="K64" s="80" t="str">
        <f t="shared" si="2"/>
        <v/>
      </c>
      <c r="L64" s="81"/>
      <c r="M64" s="81"/>
      <c r="N64" s="79"/>
      <c r="O64" s="21"/>
      <c r="P64" s="22"/>
      <c r="Q64" s="22"/>
      <c r="R64" s="23"/>
      <c r="S64" s="23"/>
    </row>
    <row r="65" ht="18.0" customHeight="1">
      <c r="A65" s="75"/>
      <c r="B65" s="75"/>
      <c r="C65" s="75"/>
      <c r="D65" s="76"/>
      <c r="E65" s="77"/>
      <c r="F65" s="76"/>
      <c r="G65" s="78"/>
      <c r="H65" s="75"/>
      <c r="I65" s="76"/>
      <c r="J65" s="79"/>
      <c r="K65" s="80" t="str">
        <f t="shared" si="2"/>
        <v/>
      </c>
      <c r="L65" s="81"/>
      <c r="M65" s="81"/>
      <c r="N65" s="79"/>
      <c r="O65" s="21"/>
      <c r="P65" s="22"/>
      <c r="Q65" s="22"/>
      <c r="R65" s="23"/>
      <c r="S65" s="23"/>
    </row>
    <row r="66" ht="18.0" customHeight="1">
      <c r="A66" s="75"/>
      <c r="B66" s="75"/>
      <c r="C66" s="75"/>
      <c r="D66" s="76"/>
      <c r="E66" s="77"/>
      <c r="F66" s="76"/>
      <c r="G66" s="78"/>
      <c r="H66" s="75"/>
      <c r="I66" s="76"/>
      <c r="J66" s="79"/>
      <c r="K66" s="80" t="str">
        <f t="shared" si="2"/>
        <v/>
      </c>
      <c r="L66" s="81"/>
      <c r="M66" s="81"/>
      <c r="N66" s="79"/>
      <c r="O66" s="21"/>
      <c r="P66" s="22"/>
      <c r="Q66" s="22"/>
      <c r="R66" s="23"/>
      <c r="S66" s="23"/>
    </row>
    <row r="67" ht="18.0" customHeight="1">
      <c r="A67" s="112"/>
      <c r="B67" s="112"/>
      <c r="C67" s="112"/>
      <c r="D67" s="87"/>
      <c r="E67" s="87"/>
      <c r="F67" s="87"/>
      <c r="G67" s="87"/>
      <c r="H67" s="112"/>
      <c r="I67" s="87"/>
      <c r="J67" s="112"/>
      <c r="K67" s="113"/>
      <c r="L67" s="112"/>
      <c r="M67" s="112"/>
      <c r="N67" s="112"/>
      <c r="O67" s="112"/>
      <c r="P67" s="112"/>
      <c r="Q67" s="112"/>
      <c r="R67" s="23"/>
      <c r="S67" s="23"/>
    </row>
  </sheetData>
  <dataValidations>
    <dataValidation type="list" allowBlank="1" sqref="F3:F66">
      <formula1>"Alta,Media,Baja"</formula1>
    </dataValidation>
    <dataValidation type="list" allowBlank="1" sqref="D3:D66">
      <formula1>"DNGO,DNISU,RENABAP,PROCREAR,Banco Hipotecario,Administración,Personales,Institucionales,Concesiones"</formula1>
    </dataValidation>
    <dataValidation type="list" allowBlank="1" sqref="E3:E66">
      <formula1>"BH,Nacho Devitt,Gustavo Coria,Valeria Sánchez,Bartolomé Heredia,José Paredes,Wenceslao Maislin,Fernando Herrmann,Enrique Eiras,José G. Hamilton,Roberto Pagano,Guillermo Fey,Natalia Hilu,Pablo Morillo,Sebastian Pareja,Adrian Danieli - Testagrosa,Ignacio Lu"&amp;"pi,Fede Roldán,Valeria Ricco,Externo"</formula1>
    </dataValidation>
    <dataValidation type="custom" allowBlank="1" showDropDown="1" sqref="L3:M66">
      <formula1>OR(NOT(ISERROR(DATEVALUE(L3))), AND(ISNUMBER(L3), LEFT(CELL("format", L3))="D"))</formula1>
    </dataValidation>
    <dataValidation type="custom" allowBlank="1" showDropDown="1" sqref="O3:O66">
      <formula1>OR(NOT(ISERROR(DATEVALUE(O3))), AND(ISNUMBER(O3), LEFT(CELL("format", O3))="D"))</formula1>
    </dataValidation>
    <dataValidation allowBlank="1" showDropDown="1" sqref="G3:G66 Q3:Q66"/>
    <dataValidation type="list" allowBlank="1" sqref="H3:H66">
      <formula1>"Luis Mesones,Alejandro B,Karina,Luisina,Gabriela,Marielda,Guillermo Fey,Jorge Ríos,Jurisdicción ,Privada"</formula1>
    </dataValidation>
    <dataValidation type="list" allowBlank="1" sqref="I3:I66">
      <formula1>"01 - Pendiente,02 - En curso,03 - En revisión,04 - Cerrado,05 - Bloqueado"</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7.0"/>
    <col customWidth="1" min="3" max="3" width="12.25"/>
    <col customWidth="1" min="4" max="4" width="19.25"/>
    <col customWidth="1" min="5" max="5" width="16.63"/>
    <col customWidth="1" min="6" max="6" width="39.38"/>
    <col customWidth="1" min="7" max="7" width="19.25"/>
    <col customWidth="1" min="8" max="8" width="13.13"/>
    <col customWidth="1" min="9" max="9" width="36.5"/>
    <col customWidth="1" min="10" max="10" width="8.75"/>
    <col customWidth="1" min="11" max="11" width="12.25"/>
    <col customWidth="1" min="12" max="12" width="11.38"/>
    <col customWidth="1" min="13" max="13" width="13.13"/>
    <col customWidth="1" min="14" max="14" width="35.0"/>
    <col customWidth="1" min="15" max="15" width="12.25"/>
    <col customWidth="1" min="16" max="16" width="35.0"/>
    <col customWidth="1" min="17" max="17" width="10.5"/>
    <col customWidth="1" min="18" max="18" width="26.25"/>
    <col customWidth="1" min="19" max="26" width="7.63"/>
  </cols>
  <sheetData>
    <row r="1" ht="30.0" customHeight="1">
      <c r="A1" s="114" t="s">
        <v>1</v>
      </c>
      <c r="B1" s="114" t="s">
        <v>2</v>
      </c>
      <c r="C1" s="114" t="s">
        <v>3</v>
      </c>
      <c r="D1" s="114" t="s">
        <v>4</v>
      </c>
      <c r="E1" s="114" t="s">
        <v>5</v>
      </c>
      <c r="F1" s="114" t="s">
        <v>118</v>
      </c>
      <c r="G1" s="114" t="s">
        <v>7</v>
      </c>
      <c r="H1" s="114" t="s">
        <v>8</v>
      </c>
      <c r="I1" s="114" t="s">
        <v>9</v>
      </c>
      <c r="J1" s="114" t="s">
        <v>10</v>
      </c>
      <c r="K1" s="114" t="s">
        <v>119</v>
      </c>
      <c r="L1" s="114" t="s">
        <v>120</v>
      </c>
      <c r="M1" s="114" t="s">
        <v>121</v>
      </c>
      <c r="N1" s="114" t="s">
        <v>13</v>
      </c>
      <c r="O1" s="114" t="s">
        <v>122</v>
      </c>
      <c r="P1" s="114" t="s">
        <v>123</v>
      </c>
      <c r="Q1" s="114" t="s">
        <v>15</v>
      </c>
      <c r="R1" s="114" t="s">
        <v>16</v>
      </c>
    </row>
    <row r="2" ht="40.5" customHeight="1">
      <c r="A2" s="39" t="s">
        <v>17</v>
      </c>
      <c r="B2" s="39" t="s">
        <v>18</v>
      </c>
      <c r="C2" s="115" t="s">
        <v>19</v>
      </c>
      <c r="D2" s="115"/>
      <c r="E2" s="15" t="s">
        <v>21</v>
      </c>
      <c r="F2" s="115" t="s">
        <v>22</v>
      </c>
      <c r="G2" s="115" t="s">
        <v>23</v>
      </c>
      <c r="H2" s="116" t="s">
        <v>24</v>
      </c>
      <c r="I2" s="115"/>
      <c r="J2" s="115"/>
      <c r="K2" s="115"/>
      <c r="L2" s="39"/>
      <c r="M2" s="39"/>
      <c r="N2" s="115" t="s">
        <v>124</v>
      </c>
      <c r="O2" s="39" t="s">
        <v>125</v>
      </c>
      <c r="P2" s="115" t="s">
        <v>126</v>
      </c>
      <c r="Q2" s="39"/>
      <c r="R2" s="115"/>
    </row>
    <row r="3" ht="30.75" customHeight="1">
      <c r="A3" s="42" t="s">
        <v>26</v>
      </c>
      <c r="B3" s="42" t="s">
        <v>18</v>
      </c>
      <c r="C3" s="117"/>
      <c r="D3" s="117"/>
      <c r="E3" s="42"/>
      <c r="F3" s="117" t="s">
        <v>127</v>
      </c>
      <c r="G3" s="117" t="s">
        <v>23</v>
      </c>
      <c r="H3" s="116" t="s">
        <v>24</v>
      </c>
      <c r="I3" s="117"/>
      <c r="J3" s="117"/>
      <c r="K3" s="117"/>
      <c r="L3" s="42"/>
      <c r="M3" s="42"/>
      <c r="N3" s="117"/>
      <c r="O3" s="42"/>
      <c r="P3" s="117" t="s">
        <v>128</v>
      </c>
      <c r="Q3" s="42"/>
      <c r="R3" s="117"/>
    </row>
    <row r="4" ht="21.75" customHeight="1">
      <c r="A4" s="45" t="s">
        <v>26</v>
      </c>
      <c r="B4" s="45" t="s">
        <v>18</v>
      </c>
      <c r="C4" s="118"/>
      <c r="D4" s="118"/>
      <c r="E4" s="45"/>
      <c r="F4" s="118" t="s">
        <v>29</v>
      </c>
      <c r="G4" s="118" t="s">
        <v>23</v>
      </c>
      <c r="H4" s="116" t="s">
        <v>24</v>
      </c>
      <c r="I4" s="118"/>
      <c r="J4" s="118"/>
      <c r="K4" s="118"/>
      <c r="L4" s="45"/>
      <c r="M4" s="45"/>
      <c r="N4" s="118"/>
      <c r="O4" s="45"/>
      <c r="P4" s="118"/>
      <c r="Q4" s="45"/>
      <c r="R4" s="118"/>
    </row>
    <row r="5" ht="21.75" customHeight="1">
      <c r="A5" s="42" t="s">
        <v>26</v>
      </c>
      <c r="B5" s="42" t="s">
        <v>18</v>
      </c>
      <c r="C5" s="117"/>
      <c r="D5" s="117"/>
      <c r="E5" s="42"/>
      <c r="F5" s="117" t="s">
        <v>30</v>
      </c>
      <c r="G5" s="117" t="s">
        <v>23</v>
      </c>
      <c r="H5" s="116" t="s">
        <v>24</v>
      </c>
      <c r="I5" s="117"/>
      <c r="J5" s="117"/>
      <c r="K5" s="117"/>
      <c r="L5" s="42"/>
      <c r="M5" s="42"/>
      <c r="N5" s="117"/>
      <c r="O5" s="42"/>
      <c r="P5" s="117"/>
      <c r="Q5" s="42"/>
      <c r="R5" s="117"/>
    </row>
    <row r="6" ht="28.5" customHeight="1">
      <c r="A6" s="39" t="s">
        <v>17</v>
      </c>
      <c r="B6" s="39" t="s">
        <v>32</v>
      </c>
      <c r="C6" s="115" t="s">
        <v>33</v>
      </c>
      <c r="D6" s="115" t="s">
        <v>34</v>
      </c>
      <c r="E6" s="39"/>
      <c r="F6" s="115" t="s">
        <v>35</v>
      </c>
      <c r="G6" s="115" t="s">
        <v>36</v>
      </c>
      <c r="H6" s="116" t="s">
        <v>24</v>
      </c>
      <c r="I6" s="115" t="s">
        <v>37</v>
      </c>
      <c r="J6" s="115" t="s">
        <v>129</v>
      </c>
      <c r="K6" s="115"/>
      <c r="L6" s="39"/>
      <c r="M6" s="39"/>
      <c r="N6" s="115"/>
      <c r="O6" s="39"/>
      <c r="P6" s="115" t="s">
        <v>130</v>
      </c>
      <c r="Q6" s="39"/>
      <c r="R6" s="115"/>
    </row>
    <row r="7" ht="39.0" customHeight="1">
      <c r="A7" s="42" t="s">
        <v>26</v>
      </c>
      <c r="B7" s="42" t="s">
        <v>32</v>
      </c>
      <c r="C7" s="117"/>
      <c r="D7" s="117"/>
      <c r="E7" s="42"/>
      <c r="F7" s="117" t="s">
        <v>38</v>
      </c>
      <c r="G7" s="117" t="s">
        <v>39</v>
      </c>
      <c r="H7" s="119" t="s">
        <v>28</v>
      </c>
      <c r="I7" s="117"/>
      <c r="J7" s="117"/>
      <c r="K7" s="117"/>
      <c r="L7" s="42"/>
      <c r="M7" s="42"/>
      <c r="N7" s="117"/>
      <c r="O7" s="42"/>
      <c r="P7" s="117"/>
      <c r="Q7" s="42"/>
      <c r="R7" s="117"/>
    </row>
    <row r="8" ht="39.0" customHeight="1">
      <c r="A8" s="45" t="s">
        <v>26</v>
      </c>
      <c r="B8" s="45" t="s">
        <v>32</v>
      </c>
      <c r="C8" s="118"/>
      <c r="D8" s="118"/>
      <c r="E8" s="45"/>
      <c r="F8" s="118" t="s">
        <v>40</v>
      </c>
      <c r="G8" s="118" t="s">
        <v>41</v>
      </c>
      <c r="H8" s="120" t="s">
        <v>42</v>
      </c>
      <c r="I8" s="118"/>
      <c r="J8" s="118"/>
      <c r="K8" s="118"/>
      <c r="L8" s="45"/>
      <c r="M8" s="45"/>
      <c r="N8" s="118"/>
      <c r="O8" s="45"/>
      <c r="P8" s="118"/>
      <c r="Q8" s="45"/>
      <c r="R8" s="118"/>
    </row>
    <row r="9" ht="39.0" customHeight="1">
      <c r="A9" s="42" t="s">
        <v>26</v>
      </c>
      <c r="B9" s="42" t="s">
        <v>32</v>
      </c>
      <c r="C9" s="117"/>
      <c r="D9" s="117"/>
      <c r="E9" s="42"/>
      <c r="F9" s="117" t="s">
        <v>43</v>
      </c>
      <c r="G9" s="117" t="s">
        <v>39</v>
      </c>
      <c r="H9" s="116" t="s">
        <v>24</v>
      </c>
      <c r="I9" s="117"/>
      <c r="J9" s="117"/>
      <c r="K9" s="117"/>
      <c r="L9" s="42"/>
      <c r="M9" s="42"/>
      <c r="N9" s="117"/>
      <c r="O9" s="42"/>
      <c r="P9" s="117"/>
      <c r="Q9" s="42"/>
      <c r="R9" s="117"/>
    </row>
    <row r="10" ht="39.0" customHeight="1">
      <c r="A10" s="39" t="s">
        <v>17</v>
      </c>
      <c r="B10" s="39" t="s">
        <v>44</v>
      </c>
      <c r="C10" s="115" t="s">
        <v>33</v>
      </c>
      <c r="D10" s="115" t="s">
        <v>45</v>
      </c>
      <c r="E10" s="39"/>
      <c r="F10" s="115" t="s">
        <v>46</v>
      </c>
      <c r="G10" s="115" t="s">
        <v>36</v>
      </c>
      <c r="H10" s="116" t="s">
        <v>24</v>
      </c>
      <c r="I10" s="115"/>
      <c r="J10" s="115"/>
      <c r="K10" s="115"/>
      <c r="L10" s="39"/>
      <c r="M10" s="39"/>
      <c r="N10" s="115"/>
      <c r="O10" s="39"/>
      <c r="P10" s="115" t="s">
        <v>131</v>
      </c>
      <c r="Q10" s="39"/>
      <c r="R10" s="115"/>
    </row>
    <row r="11" ht="39.0" customHeight="1">
      <c r="A11" s="42" t="s">
        <v>26</v>
      </c>
      <c r="B11" s="42" t="s">
        <v>44</v>
      </c>
      <c r="C11" s="117"/>
      <c r="D11" s="117"/>
      <c r="E11" s="42"/>
      <c r="F11" s="117" t="s">
        <v>47</v>
      </c>
      <c r="G11" s="117" t="s">
        <v>39</v>
      </c>
      <c r="H11" s="116" t="s">
        <v>24</v>
      </c>
      <c r="I11" s="117"/>
      <c r="J11" s="117"/>
      <c r="K11" s="117"/>
      <c r="L11" s="42"/>
      <c r="M11" s="42"/>
      <c r="N11" s="117"/>
      <c r="O11" s="42"/>
      <c r="P11" s="117"/>
      <c r="Q11" s="42"/>
      <c r="R11" s="117"/>
    </row>
    <row r="12" ht="39.0" customHeight="1">
      <c r="A12" s="45" t="s">
        <v>26</v>
      </c>
      <c r="B12" s="45" t="s">
        <v>44</v>
      </c>
      <c r="C12" s="118"/>
      <c r="D12" s="118"/>
      <c r="E12" s="45"/>
      <c r="F12" s="118" t="s">
        <v>48</v>
      </c>
      <c r="G12" s="118" t="s">
        <v>41</v>
      </c>
      <c r="H12" s="116" t="s">
        <v>24</v>
      </c>
      <c r="I12" s="118"/>
      <c r="J12" s="118"/>
      <c r="K12" s="118"/>
      <c r="L12" s="45"/>
      <c r="M12" s="45"/>
      <c r="N12" s="118"/>
      <c r="O12" s="45"/>
      <c r="P12" s="118"/>
      <c r="Q12" s="45"/>
      <c r="R12" s="118"/>
    </row>
    <row r="13" ht="39.0" customHeight="1">
      <c r="A13" s="42" t="s">
        <v>26</v>
      </c>
      <c r="B13" s="42" t="s">
        <v>44</v>
      </c>
      <c r="C13" s="117"/>
      <c r="D13" s="117"/>
      <c r="E13" s="42"/>
      <c r="F13" s="117" t="s">
        <v>49</v>
      </c>
      <c r="G13" s="117" t="s">
        <v>39</v>
      </c>
      <c r="H13" s="116" t="s">
        <v>24</v>
      </c>
      <c r="I13" s="117"/>
      <c r="J13" s="117"/>
      <c r="K13" s="117"/>
      <c r="L13" s="42"/>
      <c r="M13" s="42"/>
      <c r="N13" s="117"/>
      <c r="O13" s="42"/>
      <c r="P13" s="117"/>
      <c r="Q13" s="42"/>
      <c r="R13" s="117"/>
    </row>
    <row r="14" ht="39.0" customHeight="1">
      <c r="A14" s="39" t="s">
        <v>17</v>
      </c>
      <c r="B14" s="39" t="s">
        <v>50</v>
      </c>
      <c r="C14" s="115" t="s">
        <v>33</v>
      </c>
      <c r="D14" s="115" t="s">
        <v>51</v>
      </c>
      <c r="E14" s="39"/>
      <c r="F14" s="115" t="s">
        <v>52</v>
      </c>
      <c r="G14" s="115" t="s">
        <v>36</v>
      </c>
      <c r="H14" s="116" t="s">
        <v>24</v>
      </c>
      <c r="I14" s="115"/>
      <c r="J14" s="115"/>
      <c r="K14" s="115"/>
      <c r="L14" s="39"/>
      <c r="M14" s="39"/>
      <c r="N14" s="115"/>
      <c r="O14" s="39"/>
      <c r="P14" s="115"/>
      <c r="Q14" s="39"/>
      <c r="R14" s="115"/>
    </row>
    <row r="15" ht="39.0" customHeight="1">
      <c r="A15" s="42" t="s">
        <v>26</v>
      </c>
      <c r="B15" s="42" t="s">
        <v>50</v>
      </c>
      <c r="C15" s="117"/>
      <c r="D15" s="117"/>
      <c r="E15" s="42"/>
      <c r="F15" s="117" t="s">
        <v>53</v>
      </c>
      <c r="G15" s="117" t="s">
        <v>39</v>
      </c>
      <c r="H15" s="116" t="s">
        <v>24</v>
      </c>
      <c r="I15" s="117"/>
      <c r="J15" s="117"/>
      <c r="K15" s="117"/>
      <c r="L15" s="42"/>
      <c r="M15" s="42"/>
      <c r="N15" s="117"/>
      <c r="O15" s="42"/>
      <c r="P15" s="117"/>
      <c r="Q15" s="42"/>
      <c r="R15" s="117"/>
    </row>
    <row r="16" ht="39.0" customHeight="1">
      <c r="A16" s="45" t="s">
        <v>26</v>
      </c>
      <c r="B16" s="45" t="s">
        <v>50</v>
      </c>
      <c r="C16" s="118"/>
      <c r="D16" s="118"/>
      <c r="E16" s="45"/>
      <c r="F16" s="118" t="s">
        <v>54</v>
      </c>
      <c r="G16" s="118" t="s">
        <v>39</v>
      </c>
      <c r="H16" s="116" t="s">
        <v>24</v>
      </c>
      <c r="I16" s="118"/>
      <c r="J16" s="118"/>
      <c r="K16" s="118"/>
      <c r="L16" s="45"/>
      <c r="M16" s="45"/>
      <c r="N16" s="118"/>
      <c r="O16" s="45"/>
      <c r="P16" s="118"/>
      <c r="Q16" s="45"/>
      <c r="R16" s="118"/>
    </row>
    <row r="17" ht="39.0" customHeight="1">
      <c r="A17" s="42" t="s">
        <v>26</v>
      </c>
      <c r="B17" s="42" t="s">
        <v>50</v>
      </c>
      <c r="C17" s="117"/>
      <c r="D17" s="117"/>
      <c r="E17" s="42"/>
      <c r="F17" s="117" t="s">
        <v>55</v>
      </c>
      <c r="G17" s="117" t="s">
        <v>39</v>
      </c>
      <c r="H17" s="116" t="s">
        <v>24</v>
      </c>
      <c r="I17" s="117"/>
      <c r="J17" s="117"/>
      <c r="K17" s="117"/>
      <c r="L17" s="42"/>
      <c r="M17" s="42"/>
      <c r="N17" s="117"/>
      <c r="O17" s="42"/>
      <c r="P17" s="117"/>
      <c r="Q17" s="42"/>
      <c r="R17" s="117"/>
    </row>
    <row r="18" ht="39.0" customHeight="1">
      <c r="A18" s="39" t="s">
        <v>17</v>
      </c>
      <c r="B18" s="39" t="s">
        <v>56</v>
      </c>
      <c r="C18" s="115" t="s">
        <v>33</v>
      </c>
      <c r="D18" s="115" t="s">
        <v>57</v>
      </c>
      <c r="E18" s="39"/>
      <c r="F18" s="115" t="s">
        <v>58</v>
      </c>
      <c r="G18" s="115" t="s">
        <v>36</v>
      </c>
      <c r="H18" s="120" t="s">
        <v>42</v>
      </c>
      <c r="I18" s="115" t="s">
        <v>132</v>
      </c>
      <c r="J18" s="115" t="s">
        <v>129</v>
      </c>
      <c r="K18" s="115"/>
      <c r="L18" s="39"/>
      <c r="M18" s="39"/>
      <c r="N18" s="115"/>
      <c r="O18" s="39"/>
      <c r="P18" s="115"/>
      <c r="Q18" s="39"/>
      <c r="R18" s="115"/>
    </row>
    <row r="19" ht="39.0" customHeight="1">
      <c r="A19" s="42" t="s">
        <v>26</v>
      </c>
      <c r="B19" s="42" t="s">
        <v>56</v>
      </c>
      <c r="C19" s="117"/>
      <c r="D19" s="117"/>
      <c r="E19" s="42"/>
      <c r="F19" s="117" t="s">
        <v>60</v>
      </c>
      <c r="G19" s="117" t="s">
        <v>39</v>
      </c>
      <c r="H19" s="120" t="s">
        <v>42</v>
      </c>
      <c r="I19" s="117" t="s">
        <v>61</v>
      </c>
      <c r="J19" s="117"/>
      <c r="K19" s="117"/>
      <c r="L19" s="42"/>
      <c r="M19" s="42"/>
      <c r="N19" s="117"/>
      <c r="O19" s="42"/>
      <c r="P19" s="117"/>
      <c r="Q19" s="42"/>
      <c r="R19" s="117"/>
    </row>
    <row r="20" ht="39.0" customHeight="1">
      <c r="A20" s="45" t="s">
        <v>26</v>
      </c>
      <c r="B20" s="45" t="s">
        <v>56</v>
      </c>
      <c r="C20" s="118"/>
      <c r="D20" s="118"/>
      <c r="E20" s="45"/>
      <c r="F20" s="118" t="s">
        <v>62</v>
      </c>
      <c r="G20" s="118" t="s">
        <v>41</v>
      </c>
      <c r="H20" s="120" t="s">
        <v>42</v>
      </c>
      <c r="I20" s="118"/>
      <c r="J20" s="118"/>
      <c r="K20" s="118"/>
      <c r="L20" s="45"/>
      <c r="M20" s="45"/>
      <c r="N20" s="118"/>
      <c r="O20" s="45"/>
      <c r="P20" s="118" t="s">
        <v>133</v>
      </c>
      <c r="Q20" s="45"/>
      <c r="R20" s="118"/>
    </row>
    <row r="21" ht="39.0" customHeight="1">
      <c r="A21" s="42" t="s">
        <v>26</v>
      </c>
      <c r="B21" s="42" t="s">
        <v>56</v>
      </c>
      <c r="C21" s="117"/>
      <c r="D21" s="117"/>
      <c r="E21" s="42"/>
      <c r="F21" s="117" t="s">
        <v>64</v>
      </c>
      <c r="G21" s="117" t="s">
        <v>41</v>
      </c>
      <c r="H21" s="116" t="s">
        <v>24</v>
      </c>
      <c r="I21" s="117"/>
      <c r="J21" s="117"/>
      <c r="K21" s="117"/>
      <c r="L21" s="42"/>
      <c r="M21" s="42"/>
      <c r="N21" s="117"/>
      <c r="O21" s="42"/>
      <c r="P21" s="117"/>
      <c r="Q21" s="42"/>
      <c r="R21" s="117"/>
    </row>
    <row r="22" ht="56.25" customHeight="1">
      <c r="A22" s="39" t="s">
        <v>17</v>
      </c>
      <c r="B22" s="39" t="s">
        <v>65</v>
      </c>
      <c r="C22" s="115" t="s">
        <v>33</v>
      </c>
      <c r="D22" s="115" t="s">
        <v>66</v>
      </c>
      <c r="E22" s="55" t="s">
        <v>67</v>
      </c>
      <c r="F22" s="115" t="s">
        <v>68</v>
      </c>
      <c r="G22" s="115" t="s">
        <v>69</v>
      </c>
      <c r="H22" s="120" t="s">
        <v>42</v>
      </c>
      <c r="I22" s="115"/>
      <c r="J22" s="115"/>
      <c r="K22" s="115"/>
      <c r="L22" s="39"/>
      <c r="M22" s="39"/>
      <c r="N22" s="115"/>
      <c r="O22" s="39"/>
      <c r="P22" s="115"/>
      <c r="Q22" s="39"/>
      <c r="R22" s="115"/>
    </row>
    <row r="23" ht="37.5" customHeight="1">
      <c r="A23" s="42" t="s">
        <v>26</v>
      </c>
      <c r="B23" s="42" t="s">
        <v>65</v>
      </c>
      <c r="C23" s="117"/>
      <c r="D23" s="117"/>
      <c r="E23" s="42"/>
      <c r="F23" s="117" t="s">
        <v>70</v>
      </c>
      <c r="G23" s="117" t="s">
        <v>69</v>
      </c>
      <c r="H23" s="120" t="s">
        <v>42</v>
      </c>
      <c r="I23" s="117"/>
      <c r="J23" s="117"/>
      <c r="K23" s="117"/>
      <c r="L23" s="42"/>
      <c r="M23" s="42"/>
      <c r="N23" s="117"/>
      <c r="O23" s="42"/>
      <c r="P23" s="117"/>
      <c r="Q23" s="42"/>
      <c r="R23" s="117"/>
    </row>
    <row r="24" ht="42.75" customHeight="1">
      <c r="A24" s="39" t="s">
        <v>17</v>
      </c>
      <c r="B24" s="39" t="s">
        <v>71</v>
      </c>
      <c r="C24" s="115" t="s">
        <v>72</v>
      </c>
      <c r="D24" s="115" t="s">
        <v>73</v>
      </c>
      <c r="E24" s="55" t="s">
        <v>67</v>
      </c>
      <c r="F24" s="115" t="s">
        <v>74</v>
      </c>
      <c r="G24" s="115" t="s">
        <v>75</v>
      </c>
      <c r="H24" s="120" t="s">
        <v>42</v>
      </c>
      <c r="I24" s="115"/>
      <c r="J24" s="115"/>
      <c r="K24" s="115"/>
      <c r="L24" s="39"/>
      <c r="M24" s="39"/>
      <c r="N24" s="115"/>
      <c r="O24" s="39"/>
      <c r="P24" s="115" t="s">
        <v>134</v>
      </c>
      <c r="Q24" s="39"/>
      <c r="R24" s="115"/>
    </row>
    <row r="25" ht="30.75" customHeight="1">
      <c r="A25" s="42" t="s">
        <v>26</v>
      </c>
      <c r="B25" s="42" t="s">
        <v>71</v>
      </c>
      <c r="C25" s="117"/>
      <c r="D25" s="117"/>
      <c r="E25" s="42"/>
      <c r="F25" s="117" t="s">
        <v>76</v>
      </c>
      <c r="G25" s="117" t="s">
        <v>77</v>
      </c>
      <c r="H25" s="120" t="s">
        <v>42</v>
      </c>
      <c r="I25" s="117"/>
      <c r="J25" s="117"/>
      <c r="K25" s="117"/>
      <c r="L25" s="42"/>
      <c r="M25" s="42"/>
      <c r="N25" s="117"/>
      <c r="O25" s="42"/>
      <c r="P25" s="117"/>
      <c r="Q25" s="42"/>
      <c r="R25" s="117"/>
    </row>
    <row r="26" ht="30.75" customHeight="1">
      <c r="A26" s="45" t="s">
        <v>26</v>
      </c>
      <c r="B26" s="45" t="s">
        <v>71</v>
      </c>
      <c r="C26" s="118"/>
      <c r="D26" s="118"/>
      <c r="E26" s="45"/>
      <c r="F26" s="118" t="s">
        <v>78</v>
      </c>
      <c r="G26" s="118" t="s">
        <v>77</v>
      </c>
      <c r="H26" s="120" t="s">
        <v>42</v>
      </c>
      <c r="I26" s="118"/>
      <c r="J26" s="118"/>
      <c r="K26" s="118"/>
      <c r="L26" s="45"/>
      <c r="M26" s="45"/>
      <c r="N26" s="118"/>
      <c r="O26" s="45"/>
      <c r="P26" s="118"/>
      <c r="Q26" s="45"/>
      <c r="R26" s="118"/>
    </row>
    <row r="27" ht="30.75" customHeight="1">
      <c r="A27" s="42" t="s">
        <v>26</v>
      </c>
      <c r="B27" s="42" t="s">
        <v>71</v>
      </c>
      <c r="C27" s="117"/>
      <c r="D27" s="117"/>
      <c r="E27" s="42"/>
      <c r="F27" s="117" t="s">
        <v>79</v>
      </c>
      <c r="G27" s="117" t="s">
        <v>80</v>
      </c>
      <c r="H27" s="120" t="s">
        <v>42</v>
      </c>
      <c r="I27" s="117"/>
      <c r="J27" s="117"/>
      <c r="K27" s="117"/>
      <c r="L27" s="42"/>
      <c r="M27" s="42"/>
      <c r="N27" s="117"/>
      <c r="O27" s="42"/>
      <c r="P27" s="117"/>
      <c r="Q27" s="42"/>
      <c r="R27" s="117"/>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R$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9.25"/>
    <col customWidth="1" min="2" max="2" width="74.0"/>
    <col customWidth="1" min="3" max="26" width="7.63"/>
  </cols>
  <sheetData>
    <row r="1" ht="15.0" customHeight="1">
      <c r="A1" s="121" t="s">
        <v>135</v>
      </c>
      <c r="B1" s="122"/>
    </row>
    <row r="2">
      <c r="A2" s="123" t="s">
        <v>24</v>
      </c>
      <c r="B2" s="124" t="s">
        <v>136</v>
      </c>
      <c r="C2" s="125"/>
      <c r="D2" s="125"/>
      <c r="E2" s="125"/>
      <c r="F2" s="125"/>
      <c r="G2" s="125"/>
      <c r="H2" s="125"/>
      <c r="I2" s="125"/>
      <c r="J2" s="125"/>
      <c r="K2" s="125"/>
      <c r="L2" s="125"/>
      <c r="M2" s="125"/>
      <c r="N2" s="125"/>
      <c r="O2" s="125"/>
      <c r="P2" s="125"/>
      <c r="Q2" s="125"/>
      <c r="R2" s="125"/>
      <c r="S2" s="125"/>
      <c r="T2" s="125"/>
      <c r="U2" s="125"/>
      <c r="V2" s="125"/>
      <c r="W2" s="125"/>
      <c r="X2" s="125"/>
      <c r="Y2" s="125"/>
      <c r="Z2" s="125"/>
    </row>
    <row r="3">
      <c r="A3" s="126" t="s">
        <v>42</v>
      </c>
      <c r="B3" s="124" t="s">
        <v>137</v>
      </c>
      <c r="C3" s="125"/>
      <c r="D3" s="125"/>
      <c r="E3" s="125"/>
      <c r="F3" s="125"/>
      <c r="G3" s="125"/>
      <c r="H3" s="125"/>
      <c r="I3" s="125"/>
      <c r="J3" s="125"/>
      <c r="K3" s="125"/>
      <c r="L3" s="125"/>
      <c r="M3" s="125"/>
      <c r="N3" s="125"/>
      <c r="O3" s="125"/>
      <c r="P3" s="125"/>
      <c r="Q3" s="125"/>
      <c r="R3" s="125"/>
      <c r="S3" s="125"/>
      <c r="T3" s="125"/>
      <c r="U3" s="125"/>
      <c r="V3" s="125"/>
      <c r="W3" s="125"/>
      <c r="X3" s="125"/>
      <c r="Y3" s="125"/>
      <c r="Z3" s="125"/>
    </row>
    <row r="4">
      <c r="A4" s="127" t="s">
        <v>100</v>
      </c>
      <c r="B4" s="124" t="s">
        <v>138</v>
      </c>
      <c r="C4" s="125"/>
      <c r="D4" s="125"/>
      <c r="E4" s="125"/>
      <c r="F4" s="125"/>
      <c r="G4" s="125"/>
      <c r="H4" s="125"/>
      <c r="I4" s="125"/>
      <c r="J4" s="125"/>
      <c r="K4" s="125"/>
      <c r="L4" s="125"/>
      <c r="M4" s="125"/>
      <c r="N4" s="125"/>
      <c r="O4" s="125"/>
      <c r="P4" s="125"/>
      <c r="Q4" s="125"/>
      <c r="R4" s="125"/>
      <c r="S4" s="125"/>
      <c r="T4" s="125"/>
      <c r="U4" s="125"/>
      <c r="V4" s="125"/>
      <c r="W4" s="125"/>
      <c r="X4" s="125"/>
      <c r="Y4" s="125"/>
      <c r="Z4" s="125"/>
    </row>
    <row r="5">
      <c r="A5" s="128" t="s">
        <v>28</v>
      </c>
      <c r="B5" s="124" t="s">
        <v>139</v>
      </c>
      <c r="C5" s="125"/>
      <c r="D5" s="125"/>
      <c r="E5" s="125"/>
      <c r="F5" s="125"/>
      <c r="G5" s="125"/>
      <c r="H5" s="125"/>
      <c r="I5" s="125"/>
      <c r="J5" s="125"/>
      <c r="K5" s="125"/>
      <c r="L5" s="125"/>
      <c r="M5" s="125"/>
      <c r="N5" s="125"/>
      <c r="O5" s="125"/>
      <c r="P5" s="125"/>
      <c r="Q5" s="125"/>
      <c r="R5" s="125"/>
      <c r="S5" s="125"/>
      <c r="T5" s="125"/>
      <c r="U5" s="125"/>
      <c r="V5" s="125"/>
      <c r="W5" s="125"/>
      <c r="X5" s="125"/>
      <c r="Y5" s="125"/>
      <c r="Z5" s="125"/>
    </row>
    <row r="6">
      <c r="A6" s="129" t="s">
        <v>31</v>
      </c>
      <c r="B6" s="124" t="s">
        <v>140</v>
      </c>
      <c r="C6" s="125"/>
      <c r="D6" s="125"/>
      <c r="E6" s="125"/>
      <c r="F6" s="125"/>
      <c r="G6" s="125"/>
      <c r="H6" s="125"/>
      <c r="I6" s="125"/>
      <c r="J6" s="125"/>
      <c r="K6" s="125"/>
      <c r="L6" s="125"/>
      <c r="M6" s="125"/>
      <c r="N6" s="125"/>
      <c r="O6" s="125"/>
      <c r="P6" s="125"/>
      <c r="Q6" s="125"/>
      <c r="R6" s="125"/>
      <c r="S6" s="125"/>
      <c r="T6" s="125"/>
      <c r="U6" s="125"/>
      <c r="V6" s="125"/>
      <c r="W6" s="125"/>
      <c r="X6" s="125"/>
      <c r="Y6" s="125"/>
      <c r="Z6" s="125"/>
    </row>
    <row r="8" ht="15.0" customHeight="1">
      <c r="A8" s="130" t="s">
        <v>5</v>
      </c>
      <c r="B8" s="122"/>
    </row>
    <row r="9">
      <c r="A9" s="131" t="s">
        <v>67</v>
      </c>
    </row>
    <row r="10">
      <c r="A10" s="132" t="s">
        <v>21</v>
      </c>
    </row>
    <row r="11">
      <c r="A11" s="133" t="s">
        <v>97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B1"/>
    <mergeCell ref="A8:B8"/>
  </mergeCells>
  <printOptions/>
  <pageMargins bottom="1.0" footer="0.0" header="0.0" left="0.75" right="0.75" top="1.0"/>
  <pageSetup paperSize="9" orientation="portrait"/>
  <drawing r:id="rId1"/>
</worksheet>
</file>