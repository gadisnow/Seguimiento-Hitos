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Seguimiento temas" sheetId="2" state="visible" r:id="rId4"/>
    <sheet name="Leyend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<sst xmlns="http://schemas.openxmlformats.org/spreadsheetml/2006/main" count="189" uniqueCount="113">
  <si>
    <t xml:space="preserve">Indicador</t>
  </si>
  <si>
    <t xml:space="preserve">Valor</t>
  </si>
  <si>
    <t xml:space="preserve">Temas por estado</t>
  </si>
  <si>
    <t xml:space="preserve">  Pendiente</t>
  </si>
  <si>
    <t xml:space="preserve">  En curso</t>
  </si>
  <si>
    <t xml:space="preserve">  En revision</t>
  </si>
  <si>
    <t xml:space="preserve">  Cerrado</t>
  </si>
  <si>
    <t xml:space="preserve">  Bloqueado</t>
  </si>
  <si>
    <t xml:space="preserve">Temas vencidos</t>
  </si>
  <si>
    <t xml:space="preserve">Hitos vencidos</t>
  </si>
  <si>
    <t xml:space="preserve">Temas con expediente</t>
  </si>
  <si>
    <t xml:space="preserve">Total de temas en este reporte</t>
  </si>
  <si>
    <t xml:space="preserve">Fecha</t>
  </si>
  <si>
    <t xml:space="preserve">Nivel</t>
  </si>
  <si>
    <t xml:space="preserve">ID Tema</t>
  </si>
  <si>
    <t xml:space="preserve">Etiquetas</t>
  </si>
  <si>
    <t xml:space="preserve">Solicitante</t>
  </si>
  <si>
    <t xml:space="preserve">Importancia</t>
  </si>
  <si>
    <t xml:space="preserve">Provincia</t>
  </si>
  <si>
    <t xml:space="preserve">Municipio</t>
  </si>
  <si>
    <t xml:space="preserve">Hito / Tema</t>
  </si>
  <si>
    <t xml:space="preserve">Responsable</t>
  </si>
  <si>
    <t xml:space="preserve">Estado</t>
  </si>
  <si>
    <t xml:space="preserve">Expediente</t>
  </si>
  <si>
    <t xml:space="preserve">Dependencia</t>
  </si>
  <si>
    <t xml:space="preserve">Fecha de inicio</t>
  </si>
  <si>
    <t xml:space="preserve">Fecha de finalización</t>
  </si>
  <si>
    <t xml:space="preserve">Dias restantes para su finalizacion</t>
  </si>
  <si>
    <t xml:space="preserve">Última actualización</t>
  </si>
  <si>
    <t xml:space="preserve">Fecha última act</t>
  </si>
  <si>
    <t xml:space="preserve">Vencido</t>
  </si>
  <si>
    <t xml:space="preserve">Privado</t>
  </si>
  <si>
    <t xml:space="preserve">TEMA</t>
  </si>
  <si>
    <t xml:space="preserve">T-001</t>
  </si>
  <si>
    <t xml:space="preserve">Valeria Ricco</t>
  </si>
  <si>
    <t xml:space="preserve">Media</t>
  </si>
  <si>
    <t xml:space="preserve">Declaración Jurada Anual de Patrimonio (periodo 2025)</t>
  </si>
  <si>
    <t xml:space="preserve">Jorge Ríos</t>
  </si>
  <si>
    <t xml:space="preserve">01 - Pendiente</t>
  </si>
  <si>
    <t xml:space="preserve">VTO 31 de julio de 2026 
Jorge avisado el 26/5</t>
  </si>
  <si>
    <t xml:space="preserve">No</t>
  </si>
  <si>
    <t xml:space="preserve">HITO</t>
  </si>
  <si>
    <t xml:space="preserve">Recibir pedido de la Oficina Anticorrupción: NO-2026-44395169-APN-SSGAI#MEC y 
NO-2026-44394584-APN-SSGAI#MEC</t>
  </si>
  <si>
    <t xml:space="preserve">04 - Cerrado</t>
  </si>
  <si>
    <t xml:space="preserve">-</t>
  </si>
  <si>
    <t xml:space="preserve">Completar declaración con modelo periodo 2024</t>
  </si>
  <si>
    <t xml:space="preserve">Presentar declaración jurada</t>
  </si>
  <si>
    <t xml:space="preserve">T-002</t>
  </si>
  <si>
    <t xml:space="preserve">Obra, NRU</t>
  </si>
  <si>
    <t xml:space="preserve">Natalia Hilu, Pablo Morillo</t>
  </si>
  <si>
    <t xml:space="preserve">Baja</t>
  </si>
  <si>
    <t xml:space="preserve">Tucuman</t>
  </si>
  <si>
    <t xml:space="preserve">NRU 1763 - Barrio Avenida de las Americas - Municipalidad de Concepcion</t>
  </si>
  <si>
    <t xml:space="preserve">Luis Mesones, Alejandro Balbo</t>
  </si>
  <si>
    <t xml:space="preserve">02 - En curso</t>
  </si>
  <si>
    <t xml:space="preserve">EX-2022-94776460-APN-CEFISU#MDS</t>
  </si>
  <si>
    <t xml:space="preserve">Pendiente de auditoria externa</t>
  </si>
  <si>
    <t xml:space="preserve">Validacion del certificado de avance de obra N02 (60%) por auditor externo</t>
  </si>
  <si>
    <t xml:space="preserve">Alejandro Balbo</t>
  </si>
  <si>
    <t xml:space="preserve">Elevacion de expediente para aprobacion del 3 desembolso</t>
  </si>
  <si>
    <t xml:space="preserve">Validacion del certificado de avance de obra N02 (60%) por auditor externo — FC</t>
  </si>
  <si>
    <t xml:space="preserve">T-003</t>
  </si>
  <si>
    <t xml:space="preserve">Licitacion, Concesion</t>
  </si>
  <si>
    <t xml:space="preserve">Ignacio Lupi</t>
  </si>
  <si>
    <t xml:space="preserve">Alta</t>
  </si>
  <si>
    <t xml:space="preserve">Ciudad Autonoma de Buenos Aires</t>
  </si>
  <si>
    <t xml:space="preserve">Concesion Palais de Glace</t>
  </si>
  <si>
    <t xml:space="preserve">Luisina Roa, Karina Leone</t>
  </si>
  <si>
    <t xml:space="preserve">05 - Bloqueado</t>
  </si>
  <si>
    <t xml:space="preserve">A la espera de pliegos</t>
  </si>
  <si>
    <t xml:space="preserve">Si</t>
  </si>
  <si>
    <t xml:space="preserve">Confeccion de pliegos</t>
  </si>
  <si>
    <t xml:space="preserve">Luisina Roa</t>
  </si>
  <si>
    <t xml:space="preserve">Llamado a licitacion</t>
  </si>
  <si>
    <t xml:space="preserve">Karina Leone</t>
  </si>
  <si>
    <t xml:space="preserve">Confeccion de pliegos — FC</t>
  </si>
  <si>
    <t xml:space="preserve">T-004</t>
  </si>
  <si>
    <t xml:space="preserve">Reunion, Externo</t>
  </si>
  <si>
    <t xml:space="preserve">Externo</t>
  </si>
  <si>
    <t xml:space="preserve">Solicitud de reunion Gustavo Coria (Secretario de Interior)</t>
  </si>
  <si>
    <t xml:space="preserve">Jorge Rios, Privada</t>
  </si>
  <si>
    <t xml:space="preserve">Reunion realizada el 12/6</t>
  </si>
  <si>
    <t xml:space="preserve">T-005</t>
  </si>
  <si>
    <t xml:space="preserve">Convenio</t>
  </si>
  <si>
    <t xml:space="preserve">Nicolas Mantegazza</t>
  </si>
  <si>
    <t xml:space="preserve">Buenos Aires</t>
  </si>
  <si>
    <t xml:space="preserve">San Vicente</t>
  </si>
  <si>
    <t xml:space="preserve">Estado de situacion de los temas Intendente San Vicente</t>
  </si>
  <si>
    <t xml:space="preserve">Jorge Rios, Marielda Romero</t>
  </si>
  <si>
    <t xml:space="preserve">03 - En revisión</t>
  </si>
  <si>
    <t xml:space="preserve">En revision por el area tecnica</t>
  </si>
  <si>
    <t xml:space="preserve">Enviar estado de situacion de procrear</t>
  </si>
  <si>
    <t xml:space="preserve">Jorge Rios</t>
  </si>
  <si>
    <t xml:space="preserve">T-006</t>
  </si>
  <si>
    <t xml:space="preserve">Auditoria</t>
  </si>
  <si>
    <t xml:space="preserve">Direccion de Auditoria</t>
  </si>
  <si>
    <t xml:space="preserve">Auditoria de rendiciones de fondos 2025</t>
  </si>
  <si>
    <t xml:space="preserve">R. Castro</t>
  </si>
  <si>
    <t xml:space="preserve">Falta designar equipo auditor</t>
  </si>
  <si>
    <t xml:space="preserve">Designar equipo auditor</t>
  </si>
  <si>
    <t xml:space="preserve">Relevar rendiciones pendientes</t>
  </si>
  <si>
    <t xml:space="preserve">Designar equipo auditor — CC</t>
  </si>
  <si>
    <t xml:space="preserve">Estados</t>
  </si>
  <si>
    <t xml:space="preserve">El tema o hito está anotado pero todavía no arrancó ningún trabajo sobre él. No hay ningún impedimento externo: simplemente no se empezó, sea porque no llegó su turno de prioridad o porque su fecha de inicio prevista todavía no llegó.
Ejemplo: un hito recién creado que espera a que se libere el responsable, o un trámite que se sabe que hay que iniciar pero que aún no se gestionó.</t>
  </si>
  <si>
    <t xml:space="preserve">Hay trabajo activo sucediendo ahora mismo: alguien lo está redactando, coordinando, auditando o ejecutando en este momento.
Ejemplo: el responsable está armando la documentación, coordinando una reunión, o la obra está en ejecución.</t>
  </si>
  <si>
    <t xml:space="preserve">El trabajo de fondo ya está terminado; lo único que falta es que un tercero lo revise, valide, apruebe o firme antes de poder cerrarlo. No depende de generar más contenido, sino de que alguien más lo mire.
Ejemplo: un informe redactado que espera la firma de un Secretario, o una rendición ya armada que está en poder de auditoría externa.</t>
  </si>
  <si>
    <t xml:space="preserve">Está completado y no requiere ninguna acción adicional de nadie.
Ejemplo: expediente firmado y archivado, hito cumplido y verificado, reunión realizada y sin pendientes posteriores.</t>
  </si>
  <si>
    <t xml:space="preserve">No puede avanzar porque depende de un tercero o de algo externo que todavía no está resuelto. La diferencia con "Pendiente" es que acá ya se intentó avanzar pero hay un impedimento concreto identificado.
Ejemplo: el hito de elevación del expediente en T-002 es "Bloqueado" y no "Pendiente" porque está esperando que se apruebe la rendición contable —no es que no arrancó, es que está frenado por algo fuera del equipo.</t>
  </si>
  <si>
    <t xml:space="preserve">Tiene alta exposición institucional: involucra a autoridades (Ministro, Secretarios, intendentes), compromisos públicos ya asumidos, o su demora genera un riesgo concreto -legal, presupuestario o de imagen-. Se prioriza por encima del resto de la agenda.
Ejemplo: pedido de reunión de un intendente, expediente con vencimiento normativo, compromiso ya comunicado públicamente.</t>
  </si>
  <si>
    <t xml:space="preserve">Afecta la gestión habitual del área pero no compromete al Ministerio frente a terceros de forma crítica si se demora unos días. Tiene plazos, aunque con margen razonable de reprogramación.
Ejemplo: seguimiento de una obra en curso sin alertas activas, actualización de un convenio sin fecha límite inminente.</t>
  </si>
  <si>
    <t xml:space="preserve">Bajo impacto o urgencia: puede posponerse sin consecuencias relevantes ni para el área ni para terceros. Se resuelve cuando hay disponibilidad, sin correr al resto de la agenda.
Ejemplo: trámites administrativos de rutina, actualizaciones internas sin fecha de vencimiento definida.</t>
  </si>
  <si>
    <t xml:space="preserve">Nota</t>
  </si>
  <si>
    <t xml:space="preserve">"Importancia" clasifica la prioridad de gestión del tema, no si está vencido. Un tema de Importancia Baja puede estar vencido igual (ver columna Vencido en "Seguimiento temas"), sin que eso lo vuelva Alta automáticamente.</t>
  </si>
</sst>
</file>

<file path=xl/styles.xml><?xml version="1.0" encoding="utf-8"?>
<styleSheet xmlns="http://schemas.openxmlformats.org/spreadsheetml/2006/main">
  <numFmts count="8">
    <numFmt numFmtId="164" formatCode="General"/>
    <numFmt numFmtId="165" formatCode="General"/>
    <numFmt numFmtId="166" formatCode="dd\/mm\/yy"/>
    <numFmt numFmtId="167" formatCode="@"/>
    <numFmt numFmtId="168" formatCode="dd/mm"/>
    <numFmt numFmtId="169" formatCode="0"/>
    <numFmt numFmtId="170" formatCode="d/mm/yyyy"/>
    <numFmt numFmtId="171" formatCode="yyyy\-mm\-dd\ h:mm:ss"/>
  </numFmts>
  <fonts count="32">
    <font>
      <sz val="10"/>
      <color rgb="FF000000"/>
      <name val="Arial"/>
      <family val="0"/>
      <charset val="1"/>
    </font>
    <font>
      <sz val="10"/>
      <name val="Arial"/>
      <family val="0"/>
    </font>
    <font>
      <sz val="10"/>
      <name val="Arial"/>
      <family val="0"/>
    </font>
    <font>
      <sz val="10"/>
      <name val="Arial"/>
      <family val="0"/>
    </font>
    <font>
      <b val="true"/>
      <sz val="11"/>
      <color rgb="FFFFFFFF"/>
      <name val="Arial"/>
      <family val="0"/>
      <charset val="1"/>
    </font>
    <font>
      <b val="true"/>
      <sz val="10"/>
      <color rgb="FF1F2A44"/>
      <name val="Arial"/>
      <family val="0"/>
      <charset val="1"/>
    </font>
    <font>
      <sz val="10"/>
      <color rgb="FF1F2A44"/>
      <name val="Arial"/>
      <family val="0"/>
      <charset val="1"/>
    </font>
    <font>
      <i val="true"/>
      <sz val="10"/>
      <color rgb="FF6B7A90"/>
      <name val="Arial"/>
      <family val="0"/>
      <charset val="1"/>
    </font>
    <font>
      <sz val="9"/>
      <color rgb="FF0B5394"/>
      <name val="Arial"/>
      <family val="0"/>
      <charset val="1"/>
    </font>
    <font>
      <b val="true"/>
      <sz val="11"/>
      <color theme="0"/>
      <name val="Arial"/>
      <family val="2"/>
      <charset val="1"/>
    </font>
    <font>
      <b val="true"/>
      <sz val="10"/>
      <color theme="0"/>
      <name val="Arial"/>
      <family val="2"/>
      <charset val="1"/>
    </font>
    <font>
      <sz val="9"/>
      <name val="Arial"/>
      <family val="2"/>
      <charset val="1"/>
    </font>
    <font>
      <sz val="10"/>
      <name val="Arial"/>
      <family val="2"/>
      <charset val="1"/>
    </font>
    <font>
      <sz val="9"/>
      <color rgb="FF333333"/>
      <name val="Arial"/>
      <family val="2"/>
      <charset val="1"/>
    </font>
    <font>
      <sz val="9"/>
      <color rgb="FF047857"/>
      <name val="Arial"/>
      <family val="2"/>
      <charset val="1"/>
    </font>
    <font>
      <sz val="9"/>
      <color rgb="FF991B1B"/>
      <name val="Arial"/>
      <family val="2"/>
      <charset val="1"/>
    </font>
    <font>
      <b val="true"/>
      <sz val="10"/>
      <color rgb="FF1F3864"/>
      <name val="Arial"/>
      <family val="0"/>
      <charset val="1"/>
    </font>
    <font>
      <b val="true"/>
      <sz val="9"/>
      <color rgb="FF1D4ED8"/>
      <name val="Arial"/>
      <family val="0"/>
      <charset val="1"/>
    </font>
    <font>
      <sz val="9"/>
      <color theme="1"/>
      <name val="Arial"/>
      <family val="0"/>
      <charset val="1"/>
    </font>
    <font>
      <sz val="10"/>
      <color rgb="FF333333"/>
      <name val="Arial"/>
      <family val="0"/>
      <charset val="1"/>
    </font>
    <font>
      <b val="true"/>
      <sz val="9"/>
      <color theme="1"/>
      <name val="Arial"/>
      <family val="0"/>
      <charset val="1"/>
    </font>
    <font>
      <b val="true"/>
      <sz val="9"/>
      <color rgb="FF047857"/>
      <name val="Arial"/>
      <family val="0"/>
      <charset val="1"/>
    </font>
    <font>
      <b val="true"/>
      <sz val="9"/>
      <color rgb="FF991B1B"/>
      <name val="Arial"/>
      <family val="0"/>
      <charset val="1"/>
    </font>
    <font>
      <b val="true"/>
      <sz val="9"/>
      <color rgb="FF92400E"/>
      <name val="Arial"/>
      <family val="0"/>
      <charset val="1"/>
    </font>
    <font>
      <b val="true"/>
      <sz val="9"/>
      <color rgb="FF5B21B6"/>
      <name val="Arial"/>
      <family val="0"/>
      <charset val="1"/>
    </font>
    <font>
      <sz val="9"/>
      <color rgb="FF333333"/>
      <name val="Arial"/>
      <family val="0"/>
      <charset val="1"/>
    </font>
    <font>
      <sz val="9"/>
      <color rgb="FF000000"/>
      <name val="Arial"/>
      <family val="0"/>
      <charset val="1"/>
    </font>
    <font>
      <sz val="11"/>
      <color theme="1"/>
      <name val="Arial"/>
      <family val="0"/>
      <charset val="1"/>
    </font>
    <font>
      <b val="true"/>
      <sz val="10"/>
      <color rgb="FFFFFFFF"/>
      <name val="Arial"/>
      <family val="0"/>
      <charset val="1"/>
    </font>
    <font>
      <sz val="9"/>
      <name val="Arial"/>
      <family val="0"/>
      <charset val="1"/>
    </font>
    <font>
      <b val="true"/>
      <i val="true"/>
      <sz val="9"/>
      <color rgb="FF6B7A90"/>
      <name val="Arial"/>
      <family val="0"/>
      <charset val="1"/>
    </font>
    <font>
      <i val="true"/>
      <sz val="9"/>
      <color rgb="FF6B7A90"/>
      <name val="Arial"/>
      <family val="0"/>
      <charset val="1"/>
    </font>
  </fonts>
  <fills count="10">
    <fill>
      <patternFill patternType="none"/>
    </fill>
    <fill>
      <patternFill patternType="gray125"/>
    </fill>
    <fill>
      <patternFill patternType="solid">
        <fgColor theme="4" tint="-0.5"/>
        <bgColor rgb="FF0B5394"/>
      </patternFill>
    </fill>
    <fill>
      <patternFill patternType="solid">
        <fgColor rgb="FFD6E4F7"/>
        <bgColor rgb="FFDBEAFE"/>
      </patternFill>
    </fill>
    <fill>
      <patternFill patternType="solid">
        <fgColor rgb="FFFEE2E2"/>
        <bgColor rgb="FFEDE9FE"/>
      </patternFill>
    </fill>
    <fill>
      <patternFill patternType="solid">
        <fgColor rgb="FFDBEAFE"/>
        <bgColor rgb="FFD6E4F7"/>
      </patternFill>
    </fill>
    <fill>
      <patternFill patternType="solid">
        <fgColor rgb="FFFFFFFF"/>
        <bgColor rgb="FFEDE9FE"/>
      </patternFill>
    </fill>
    <fill>
      <patternFill patternType="solid">
        <fgColor rgb="FFD1FAE5"/>
        <bgColor rgb="FFDBEAFE"/>
      </patternFill>
    </fill>
    <fill>
      <patternFill patternType="solid">
        <fgColor rgb="FFFEF3C7"/>
        <bgColor rgb="FFFEE2E2"/>
      </patternFill>
    </fill>
    <fill>
      <patternFill patternType="solid">
        <fgColor rgb="FFEDE9FE"/>
        <bgColor rgb="FFE6ECF3"/>
      </patternFill>
    </fill>
  </fills>
  <borders count="7">
    <border diagonalUp="false" diagonalDown="false">
      <left/>
      <right/>
      <top/>
      <bottom/>
      <diagonal/>
    </border>
    <border diagonalUp="false" diagonalDown="false">
      <left style="thin">
        <color rgb="FFB7B7B7"/>
      </left>
      <right/>
      <top style="thin">
        <color rgb="FFB7B7B7"/>
      </top>
      <bottom/>
      <diagonal/>
    </border>
    <border diagonalUp="false" diagonalDown="false">
      <left style="thin">
        <color rgb="FFB7B7B7"/>
      </left>
      <right style="thin">
        <color rgb="FFB7B7B7"/>
      </right>
      <top style="thin">
        <color rgb="FFB7B7B7"/>
      </top>
      <bottom/>
      <diagonal/>
    </border>
    <border diagonalUp="false" diagonalDown="false">
      <left style="thin">
        <color rgb="FFE6ECF3"/>
      </left>
      <right style="thin">
        <color rgb="FFE6ECF3"/>
      </right>
      <top style="thin">
        <color rgb="FFE6ECF3"/>
      </top>
      <bottom style="thin">
        <color rgb="FFE6ECF3"/>
      </bottom>
      <diagonal/>
    </border>
    <border diagonalUp="false" diagonalDown="false">
      <left style="thin">
        <color rgb="FFBDD7EE"/>
      </left>
      <right style="thin">
        <color rgb="FFBDD7EE"/>
      </right>
      <top/>
      <bottom style="thin">
        <color rgb="FFBDD7EE"/>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DD7EE"/>
      </left>
      <right style="thin">
        <color rgb="FFBDD7EE"/>
      </right>
      <top style="thin">
        <color rgb="FFBDD7EE"/>
      </top>
      <bottom style="thin">
        <color rgb="FFBDD7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true" indent="0" shrinkToFit="false"/>
      <protection locked="true" hidden="false"/>
    </xf>
    <xf numFmtId="166" fontId="8"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7" fontId="9" fillId="2" borderId="1" xfId="0" applyFont="true" applyBorder="true" applyAlignment="true" applyProtection="false">
      <alignment horizontal="center" vertical="center" textRotation="0" wrapText="true" indent="0" shrinkToFit="false"/>
      <protection locked="true" hidden="false"/>
    </xf>
    <xf numFmtId="167" fontId="9" fillId="2"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8" fontId="11" fillId="3" borderId="0" xfId="0" applyFont="true" applyBorder="false" applyAlignment="true" applyProtection="false">
      <alignment horizontal="center" vertical="center"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7" fontId="11" fillId="3" borderId="0" xfId="0" applyFont="true" applyBorder="false" applyAlignment="true" applyProtection="false">
      <alignment horizontal="center" vertical="center" textRotation="0" wrapText="tru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6" fontId="11" fillId="3" borderId="0" xfId="0" applyFont="true" applyBorder="false" applyAlignment="true" applyProtection="false">
      <alignment horizontal="center" vertical="center" textRotation="0" wrapText="true" indent="0" shrinkToFit="false"/>
      <protection locked="true" hidden="false"/>
    </xf>
    <xf numFmtId="169" fontId="11" fillId="3" borderId="0" xfId="0" applyFont="true" applyBorder="false" applyAlignment="true" applyProtection="false">
      <alignment horizontal="center" vertical="center" textRotation="0" wrapText="false" indent="0" shrinkToFit="false"/>
      <protection locked="true" hidden="false"/>
    </xf>
    <xf numFmtId="170" fontId="11" fillId="3" borderId="0" xfId="0" applyFont="true" applyBorder="false" applyAlignment="true" applyProtection="false">
      <alignment horizontal="center" vertical="center" textRotation="0" wrapText="tru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7" fontId="13"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6" fontId="13" fillId="0" borderId="0" xfId="0" applyFont="true" applyBorder="false" applyAlignment="true" applyProtection="false">
      <alignment horizontal="center" vertical="center" textRotation="0" wrapText="true" indent="0" shrinkToFit="false"/>
      <protection locked="true" hidden="false"/>
    </xf>
    <xf numFmtId="170" fontId="13"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71" fontId="16" fillId="3" borderId="3" xfId="0" applyFont="true" applyBorder="true" applyAlignment="true" applyProtection="false">
      <alignment horizontal="center" vertical="center" textRotation="0" wrapText="true" indent="0" shrinkToFit="false"/>
      <protection locked="true" hidden="false"/>
    </xf>
    <xf numFmtId="164" fontId="16" fillId="3" borderId="3" xfId="0" applyFont="true" applyBorder="true" applyAlignment="true" applyProtection="false">
      <alignment horizontal="center" vertical="center" textRotation="0" wrapText="true" indent="0" shrinkToFit="false"/>
      <protection locked="true" hidden="false"/>
    </xf>
    <xf numFmtId="167" fontId="16" fillId="3" borderId="3" xfId="0" applyFont="true" applyBorder="true" applyAlignment="true" applyProtection="false">
      <alignment horizontal="center" vertical="center" textRotation="0" wrapText="true" indent="0" shrinkToFit="false"/>
      <protection locked="true" hidden="false"/>
    </xf>
    <xf numFmtId="167" fontId="16" fillId="3" borderId="3" xfId="0" applyFont="true" applyBorder="true" applyAlignment="true" applyProtection="false">
      <alignment horizontal="left"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66" fontId="16" fillId="3" borderId="3" xfId="0" applyFont="true" applyBorder="true" applyAlignment="true" applyProtection="false">
      <alignment horizontal="center" vertical="center" textRotation="0" wrapText="true" indent="0" shrinkToFit="false"/>
      <protection locked="true" hidden="false"/>
    </xf>
    <xf numFmtId="169" fontId="18" fillId="0" borderId="0" xfId="0" applyFont="true" applyBorder="false" applyAlignment="true" applyProtection="false">
      <alignment horizontal="center" vertical="center" textRotation="0" wrapText="false" indent="0" shrinkToFit="false"/>
      <protection locked="true" hidden="false"/>
    </xf>
    <xf numFmtId="164" fontId="16" fillId="3" borderId="3" xfId="0" applyFont="true" applyBorder="true" applyAlignment="true" applyProtection="false">
      <alignment horizontal="left" vertical="center" textRotation="0" wrapText="true" indent="0" shrinkToFit="false"/>
      <protection locked="true" hidden="false"/>
    </xf>
    <xf numFmtId="170" fontId="18"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3" borderId="3" xfId="0" applyFont="true" applyBorder="true" applyAlignment="true" applyProtection="false">
      <alignment horizontal="center" vertical="center" textRotation="0" wrapText="false" indent="0" shrinkToFit="false"/>
      <protection locked="true" hidden="false"/>
    </xf>
    <xf numFmtId="171" fontId="19" fillId="6" borderId="3" xfId="0" applyFont="true" applyBorder="true" applyAlignment="true" applyProtection="false">
      <alignment horizontal="center" vertical="center" textRotation="0" wrapText="true" indent="0" shrinkToFit="false"/>
      <protection locked="true" hidden="false"/>
    </xf>
    <xf numFmtId="164" fontId="19" fillId="6" borderId="3"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7" fontId="20" fillId="0" borderId="0" xfId="0" applyFont="true" applyBorder="false" applyAlignment="true" applyProtection="false">
      <alignment horizontal="left" vertical="center" textRotation="0" wrapText="false" indent="0" shrinkToFit="false"/>
      <protection locked="true" hidden="false"/>
    </xf>
    <xf numFmtId="167" fontId="19" fillId="6" borderId="3" xfId="0" applyFont="true" applyBorder="true" applyAlignment="true" applyProtection="false">
      <alignment horizontal="left" vertical="center" textRotation="0" wrapText="true" indent="0" shrinkToFit="false"/>
      <protection locked="true" hidden="false"/>
    </xf>
    <xf numFmtId="164" fontId="21" fillId="7" borderId="3" xfId="0" applyFont="true" applyBorder="true" applyAlignment="true" applyProtection="false">
      <alignment horizontal="center" vertical="center" textRotation="0" wrapText="true" indent="0" shrinkToFit="false"/>
      <protection locked="true" hidden="false"/>
    </xf>
    <xf numFmtId="166" fontId="18" fillId="0" borderId="0" xfId="0" applyFont="true" applyBorder="false" applyAlignment="true" applyProtection="false">
      <alignment horizontal="general" vertical="center" textRotation="0" wrapText="false" indent="0" shrinkToFit="false"/>
      <protection locked="true" hidden="false"/>
    </xf>
    <xf numFmtId="166" fontId="19" fillId="6" borderId="3"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6" borderId="3" xfId="0" applyFont="true" applyBorder="true" applyAlignment="true" applyProtection="false">
      <alignment horizontal="center" vertical="center" textRotation="0" wrapText="false" indent="0" shrinkToFit="false"/>
      <protection locked="true" hidden="false"/>
    </xf>
    <xf numFmtId="164" fontId="22" fillId="4" borderId="3"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23" fillId="8" borderId="3"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7" fontId="20" fillId="0" borderId="0" xfId="0" applyFont="true" applyBorder="false" applyAlignment="true" applyProtection="false">
      <alignment horizontal="left" vertical="center" textRotation="0" wrapText="true" indent="0" shrinkToFit="false"/>
      <protection locked="true" hidden="false"/>
    </xf>
    <xf numFmtId="166" fontId="18" fillId="0" borderId="0" xfId="0" applyFont="true" applyBorder="false" applyAlignment="true" applyProtection="false">
      <alignment horizontal="general" vertical="center" textRotation="0" wrapText="true" indent="0" shrinkToFit="false"/>
      <protection locked="true" hidden="false"/>
    </xf>
    <xf numFmtId="170" fontId="18" fillId="0" borderId="0" xfId="0" applyFont="true" applyBorder="false" applyAlignment="true" applyProtection="false">
      <alignment horizontal="general" vertical="center" textRotation="0" wrapText="true" indent="0" shrinkToFit="false"/>
      <protection locked="true" hidden="false"/>
    </xf>
    <xf numFmtId="164" fontId="24" fillId="9" borderId="3"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7" fontId="18" fillId="0" borderId="0" xfId="0" applyFont="true" applyBorder="fals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26" fillId="0" borderId="5"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11" fillId="0" borderId="6" xfId="0" applyFont="true" applyBorder="true" applyAlignment="true" applyProtection="false">
      <alignment horizontal="center" vertical="center" textRotation="0" wrapText="true" indent="0" shrinkToFit="false"/>
      <protection locked="true" hidden="false"/>
    </xf>
    <xf numFmtId="164" fontId="28" fillId="2" borderId="0" xfId="0" applyFont="true" applyBorder="true" applyAlignment="true" applyProtection="false">
      <alignment horizontal="center" vertical="center" textRotation="0" wrapText="true" indent="0" shrinkToFit="false"/>
      <protection locked="true" hidden="false"/>
    </xf>
    <xf numFmtId="164" fontId="29" fillId="0" borderId="4" xfId="0" applyFont="true" applyBorder="true" applyAlignment="true" applyProtection="false">
      <alignment horizontal="center" vertical="top" textRotation="0" wrapText="true" indent="0" shrinkToFit="false"/>
      <protection locked="true" hidden="false"/>
    </xf>
    <xf numFmtId="164" fontId="29" fillId="0" borderId="6" xfId="0" applyFont="true" applyBorder="true" applyAlignment="true" applyProtection="false">
      <alignment horizontal="center" vertical="top" textRotation="0" wrapText="true" indent="0" shrinkToFit="false"/>
      <protection locked="true" hidden="false"/>
    </xf>
    <xf numFmtId="164" fontId="30" fillId="0" borderId="0" xfId="0" applyFont="true" applyBorder="false" applyAlignment="true" applyProtection="false">
      <alignment horizontal="center" vertical="top" textRotation="0" wrapText="true" indent="0" shrinkToFit="false"/>
      <protection locked="true" hidden="false"/>
    </xf>
    <xf numFmtId="164" fontId="31"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093C92"/>
          <bgColor rgb="FF000000"/>
        </patternFill>
      </fill>
    </dxf>
    <dxf>
      <fill>
        <patternFill patternType="solid">
          <fgColor rgb="FFD6E4F7"/>
          <bgColor rgb="FF000000"/>
        </patternFill>
      </fill>
    </dxf>
    <dxf>
      <fill>
        <patternFill patternType="solid">
          <fgColor rgb="FFFFFFFF"/>
          <bgColor rgb="FF000000"/>
        </patternFill>
      </fill>
    </dxf>
    <dxf>
      <fill>
        <patternFill patternType="solid">
          <bgColor rgb="FF000000"/>
        </patternFill>
      </fill>
    </dxf>
    <dxf>
      <fill>
        <patternFill patternType="solid">
          <fgColor rgb="FF1F3864"/>
          <bgColor rgb="FF000000"/>
        </patternFill>
      </fill>
    </dxf>
    <dxf>
      <fill>
        <patternFill patternType="solid">
          <fgColor rgb="FF333333"/>
          <bgColor rgb="FF000000"/>
        </patternFill>
      </fill>
    </dxf>
    <dxf>
      <fill>
        <patternFill patternType="solid">
          <fgColor rgb="FF000000"/>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47857"/>
          <bgColor rgb="FF000000"/>
        </patternFill>
      </fill>
    </dxf>
    <dxf>
      <fill>
        <patternFill patternType="solid">
          <fgColor rgb="FF1D4ED8"/>
          <bgColor rgb="FF000000"/>
        </patternFill>
      </fill>
    </dxf>
    <dxf>
      <fill>
        <patternFill patternType="solid">
          <fgColor rgb="FF5B21B6"/>
          <bgColor rgb="FF000000"/>
        </patternFill>
      </fill>
    </dxf>
    <dxf>
      <fill>
        <patternFill patternType="solid">
          <fgColor rgb="FF92400E"/>
          <bgColor rgb="FF000000"/>
        </patternFill>
      </fill>
    </dxf>
    <dxf>
      <fill>
        <patternFill patternType="solid">
          <fgColor rgb="FF991B1B"/>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5B21B6"/>
      <rgbColor rgb="FF047857"/>
      <rgbColor rgb="FFB7B7B7"/>
      <rgbColor rgb="FF6B7A90"/>
      <rgbColor rgb="FF9999FF"/>
      <rgbColor rgb="FF4F46E5"/>
      <rgbColor rgb="FFFEF3C7"/>
      <rgbColor rgb="FFDBEAFE"/>
      <rgbColor rgb="FF660066"/>
      <rgbColor rgb="FFFF8080"/>
      <rgbColor rgb="FF0B5394"/>
      <rgbColor rgb="FFBDD7EE"/>
      <rgbColor rgb="FF000080"/>
      <rgbColor rgb="FFFF00FF"/>
      <rgbColor rgb="FFFFFF00"/>
      <rgbColor rgb="FF00FFFF"/>
      <rgbColor rgb="FF800080"/>
      <rgbColor rgb="FF800000"/>
      <rgbColor rgb="FF008080"/>
      <rgbColor rgb="FF0000FF"/>
      <rgbColor rgb="FF00CCFF"/>
      <rgbColor rgb="FFE6ECF3"/>
      <rgbColor rgb="FFD1FAE5"/>
      <rgbColor rgb="FFEDE9FE"/>
      <rgbColor rgb="FFD6E4F7"/>
      <rgbColor rgb="FFFF99CC"/>
      <rgbColor rgb="FFD9D9D9"/>
      <rgbColor rgb="FFFEE2E2"/>
      <rgbColor rgb="FF1D4ED8"/>
      <rgbColor rgb="FF33CCCC"/>
      <rgbColor rgb="FF99CC00"/>
      <rgbColor rgb="FFFFCC00"/>
      <rgbColor rgb="FFFF9900"/>
      <rgbColor rgb="FFFF6600"/>
      <rgbColor rgb="FF535FC1"/>
      <rgbColor rgb="FF969696"/>
      <rgbColor rgb="FF093C92"/>
      <rgbColor rgb="FF339966"/>
      <rgbColor rgb="FF003300"/>
      <rgbColor rgb="FF1F2A44"/>
      <rgbColor rgb="FF92400E"/>
      <rgbColor rgb="FF993366"/>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reas_y_temas" displayName="Tareas_y_temas" ref="A2:T18" headerRowCount="1" totalsRowCount="0" totalsRowShown="0">
  <autoFilter ref="A2:T18"/>
  <tableColumns count="20">
    <tableColumn id="1" name="Fecha"/>
    <tableColumn id="2" name="Nivel"/>
    <tableColumn id="3" name="ID Tema"/>
    <tableColumn id="4" name="Etiquetas"/>
    <tableColumn id="5" name="Solicitante"/>
    <tableColumn id="6" name="Importancia"/>
    <tableColumn id="7" name="Provincia"/>
    <tableColumn id="8" name="Municipio"/>
    <tableColumn id="9" name="Hito / Tema"/>
    <tableColumn id="10" name="Responsable"/>
    <tableColumn id="11" name="Estado"/>
    <tableColumn id="12" name="Expediente"/>
    <tableColumn id="13" name="Dependencia"/>
    <tableColumn id="14" name="Fecha de inicio"/>
    <tableColumn id="15" name="Fecha de finalización"/>
    <tableColumn id="16" name="Dias restantes para su finalizacion"/>
    <tableColumn id="17" name="Última actualización"/>
    <tableColumn id="18" name="Fecha última act"/>
    <tableColumn id="19" name="Vencido"/>
    <tableColumn id="20" name="Privado"/>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46E5"/>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9" activeCellId="0" sqref="B19"/>
    </sheetView>
  </sheetViews>
  <sheetFormatPr defaultColWidth="8.66796875" defaultRowHeight="12.75" zeroHeight="false" outlineLevelRow="0" outlineLevelCol="0"/>
  <cols>
    <col collapsed="false" customWidth="true" hidden="false" outlineLevel="0" max="1" min="1" style="1" width="32"/>
    <col collapsed="false" customWidth="true" hidden="false" outlineLevel="0" max="2" min="2" style="1" width="14"/>
  </cols>
  <sheetData>
    <row r="1" customFormat="false" ht="13.5" hidden="false" customHeight="true" outlineLevel="0" collapsed="false">
      <c r="A1" s="2" t="s">
        <v>0</v>
      </c>
      <c r="B1" s="2" t="s">
        <v>1</v>
      </c>
    </row>
    <row r="2" customFormat="false" ht="12.75" hidden="false" customHeight="true" outlineLevel="0" collapsed="false">
      <c r="A2" s="3" t="s">
        <v>2</v>
      </c>
    </row>
    <row r="3" customFormat="false" ht="12.75" hidden="false" customHeight="true" outlineLevel="0" collapsed="false">
      <c r="A3" s="4" t="s">
        <v>3</v>
      </c>
      <c r="B3" s="5" t="n">
        <f aca="false">COUNTIFS('Seguimiento temas'!B:B,"TEMA",'Seguimiento temas'!K:K,"01 - Pendiente")</f>
        <v>2</v>
      </c>
    </row>
    <row r="4" customFormat="false" ht="12.75" hidden="false" customHeight="true" outlineLevel="0" collapsed="false">
      <c r="A4" s="4" t="s">
        <v>4</v>
      </c>
      <c r="B4" s="5" t="n">
        <f aca="false">COUNTIFS('Seguimiento temas'!B:B,"TEMA",'Seguimiento temas'!K:K,"02 - En curso")</f>
        <v>1</v>
      </c>
    </row>
    <row r="5" customFormat="false" ht="12.75" hidden="false" customHeight="true" outlineLevel="0" collapsed="false">
      <c r="A5" s="4" t="s">
        <v>5</v>
      </c>
      <c r="B5" s="5" t="n">
        <f aca="false">COUNTIFS('Seguimiento temas'!B:B,"TEMA",'Seguimiento temas'!K:K,"03 - En revisión")</f>
        <v>1</v>
      </c>
    </row>
    <row r="6" customFormat="false" ht="12.75" hidden="false" customHeight="true" outlineLevel="0" collapsed="false">
      <c r="A6" s="4" t="s">
        <v>6</v>
      </c>
      <c r="B6" s="5" t="n">
        <f aca="false">COUNTIFS('Seguimiento temas'!B:B,"TEMA",'Seguimiento temas'!K:K,"04 - Cerrado")</f>
        <v>1</v>
      </c>
    </row>
    <row r="7" customFormat="false" ht="12.75" hidden="false" customHeight="true" outlineLevel="0" collapsed="false">
      <c r="A7" s="4" t="s">
        <v>7</v>
      </c>
      <c r="B7" s="5" t="n">
        <f aca="false">COUNTIFS('Seguimiento temas'!B:B,"TEMA",'Seguimiento temas'!K:K,"05 - Bloqueado")</f>
        <v>1</v>
      </c>
    </row>
    <row r="8" customFormat="false" ht="12.75" hidden="false" customHeight="true" outlineLevel="0" collapsed="false">
      <c r="A8" s="4" t="s">
        <v>8</v>
      </c>
      <c r="B8" s="5" t="n">
        <f aca="false">COUNTIFS('Seguimiento temas'!B:B,"TEMA",'Seguimiento temas'!S:S,"Si")</f>
        <v>5</v>
      </c>
    </row>
    <row r="9" customFormat="false" ht="12.75" hidden="false" customHeight="true" outlineLevel="0" collapsed="false">
      <c r="A9" s="4" t="s">
        <v>9</v>
      </c>
      <c r="B9" s="5" t="n">
        <f aca="false">COUNTIFS('Seguimiento temas'!B:B,"HITO",'Seguimiento temas'!S:S,"Si")</f>
        <v>0</v>
      </c>
    </row>
    <row r="10" customFormat="false" ht="12.75" hidden="false" customHeight="true" outlineLevel="0" collapsed="false">
      <c r="A10" s="4" t="s">
        <v>10</v>
      </c>
      <c r="B10" s="5" t="n">
        <f aca="false">COUNTIFS('Seguimiento temas'!B:B,"TEMA",'Seguimiento temas'!L:L,"&lt;&gt;")</f>
        <v>1</v>
      </c>
    </row>
    <row r="11" customFormat="false" ht="12.75" hidden="false" customHeight="true" outlineLevel="0" collapsed="false">
      <c r="A11" s="4" t="s">
        <v>11</v>
      </c>
      <c r="B11" s="5" t="n">
        <f aca="false">COUNTIF('Seguimiento temas'!B:B,"TEMA")</f>
        <v>6</v>
      </c>
    </row>
    <row r="13" customFormat="false" ht="12.75" hidden="false" customHeight="true" outlineLevel="0" collapsed="false">
      <c r="A13"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5FC1"/>
    <pageSetUpPr fitToPage="false"/>
  </sheetPr>
  <dimension ref="A1:T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P8" activeCellId="0" sqref="P8"/>
    </sheetView>
  </sheetViews>
  <sheetFormatPr defaultColWidth="12.59765625" defaultRowHeight="12.75" zeroHeight="false" outlineLevelRow="0" outlineLevelCol="0"/>
  <cols>
    <col collapsed="false" customWidth="true" hidden="false" outlineLevel="0" max="1" min="1" style="1" width="10.53"/>
    <col collapsed="false" customWidth="true" hidden="false" outlineLevel="0" max="2" min="2" style="1" width="9.73"/>
    <col collapsed="false" customWidth="true" hidden="false" outlineLevel="0" max="3" min="3" style="1" width="16"/>
    <col collapsed="false" customWidth="true" hidden="false" outlineLevel="0" max="4" min="4" style="1" width="19.73"/>
    <col collapsed="false" customWidth="true" hidden="false" outlineLevel="0" max="5" min="5" style="1" width="29.13"/>
    <col collapsed="false" customWidth="true" hidden="false" outlineLevel="0" max="6" min="6" style="1" width="16.12"/>
    <col collapsed="false" customWidth="true" hidden="false" outlineLevel="0" max="8" min="7" style="1" width="19.59"/>
    <col collapsed="false" customWidth="true" hidden="false" outlineLevel="0" max="9" min="9" style="1" width="73.58"/>
    <col collapsed="false" customWidth="true" hidden="false" outlineLevel="0" max="10" min="10" style="1" width="21"/>
    <col collapsed="false" customWidth="true" hidden="false" outlineLevel="0" max="11" min="11" style="1" width="17.15"/>
    <col collapsed="false" customWidth="true" hidden="false" outlineLevel="0" max="13" min="12" style="1" width="39.53"/>
    <col collapsed="false" customWidth="true" hidden="false" outlineLevel="0" max="15" min="14" style="1" width="18.4"/>
    <col collapsed="false" customWidth="true" hidden="false" outlineLevel="0" max="16" min="16" style="1" width="21"/>
    <col collapsed="false" customWidth="true" hidden="false" outlineLevel="0" max="17" min="17" style="1" width="32.4"/>
    <col collapsed="false" customWidth="true" hidden="false" outlineLevel="0" max="18" min="18" style="1" width="19.4"/>
    <col collapsed="false" customWidth="true" hidden="false" outlineLevel="0" max="19" min="19" style="1" width="12"/>
    <col collapsed="false" customWidth="true" hidden="false" outlineLevel="0" max="20" min="20" style="1" width="11"/>
    <col collapsed="false" customWidth="true" hidden="false" outlineLevel="0" max="21" min="21" style="1" width="22"/>
  </cols>
  <sheetData>
    <row r="1" customFormat="false" ht="12.75" hidden="false" customHeight="true" outlineLevel="0" collapsed="false">
      <c r="A1" s="7"/>
      <c r="B1" s="7"/>
      <c r="C1" s="8"/>
      <c r="D1" s="9"/>
      <c r="E1" s="10"/>
      <c r="F1" s="9"/>
      <c r="G1" s="9"/>
      <c r="H1" s="9"/>
      <c r="I1" s="9"/>
      <c r="J1" s="9"/>
      <c r="K1" s="9"/>
      <c r="L1" s="9"/>
      <c r="M1" s="9"/>
      <c r="N1" s="9"/>
      <c r="O1" s="9"/>
      <c r="P1" s="9"/>
      <c r="Q1" s="9"/>
      <c r="R1" s="9"/>
      <c r="S1" s="11"/>
      <c r="T1" s="11"/>
    </row>
    <row r="2" customFormat="false" ht="48" hidden="false" customHeight="true" outlineLevel="0" collapsed="false">
      <c r="A2" s="12" t="s">
        <v>12</v>
      </c>
      <c r="B2" s="12" t="s">
        <v>13</v>
      </c>
      <c r="C2" s="12" t="s">
        <v>14</v>
      </c>
      <c r="D2" s="13" t="s">
        <v>15</v>
      </c>
      <c r="E2" s="13" t="s">
        <v>16</v>
      </c>
      <c r="F2" s="13" t="s">
        <v>17</v>
      </c>
      <c r="G2" s="13" t="s">
        <v>18</v>
      </c>
      <c r="H2" s="13" t="s">
        <v>19</v>
      </c>
      <c r="I2" s="13" t="s">
        <v>20</v>
      </c>
      <c r="J2" s="12" t="s">
        <v>21</v>
      </c>
      <c r="K2" s="13" t="s">
        <v>22</v>
      </c>
      <c r="L2" s="12" t="s">
        <v>23</v>
      </c>
      <c r="M2" s="12" t="s">
        <v>24</v>
      </c>
      <c r="N2" s="12" t="s">
        <v>25</v>
      </c>
      <c r="O2" s="13" t="s">
        <v>26</v>
      </c>
      <c r="P2" s="13" t="s">
        <v>27</v>
      </c>
      <c r="Q2" s="13" t="s">
        <v>28</v>
      </c>
      <c r="R2" s="13" t="s">
        <v>29</v>
      </c>
      <c r="S2" s="14" t="s">
        <v>30</v>
      </c>
      <c r="T2" s="14" t="s">
        <v>31</v>
      </c>
    </row>
    <row r="3" s="23" customFormat="true" ht="37.5" hidden="false" customHeight="true" outlineLevel="0" collapsed="false">
      <c r="A3" s="15" t="n">
        <v>46146</v>
      </c>
      <c r="B3" s="16" t="s">
        <v>32</v>
      </c>
      <c r="C3" s="16" t="s">
        <v>33</v>
      </c>
      <c r="D3" s="16"/>
      <c r="E3" s="16" t="s">
        <v>34</v>
      </c>
      <c r="F3" s="16" t="s">
        <v>35</v>
      </c>
      <c r="G3" s="17"/>
      <c r="H3" s="17"/>
      <c r="I3" s="16" t="s">
        <v>36</v>
      </c>
      <c r="J3" s="16" t="s">
        <v>37</v>
      </c>
      <c r="K3" s="18" t="s">
        <v>38</v>
      </c>
      <c r="L3" s="16"/>
      <c r="M3" s="16"/>
      <c r="N3" s="19" t="n">
        <v>46146</v>
      </c>
      <c r="O3" s="19" t="n">
        <v>46234</v>
      </c>
      <c r="P3" s="20" t="n">
        <f aca="true">IF(K3="04 - Cerrado","-",O3-TODAY())</f>
        <v>-1</v>
      </c>
      <c r="Q3" s="16" t="s">
        <v>39</v>
      </c>
      <c r="R3" s="21"/>
      <c r="S3" s="22" t="str">
        <f aca="true">IF(AND(K3&lt;&gt;"04 - Cerrado",O3&lt;TODAY()),"Si","No")</f>
        <v>Si</v>
      </c>
      <c r="T3" s="22" t="s">
        <v>40</v>
      </c>
    </row>
    <row r="4" customFormat="false" ht="37.5" hidden="false" customHeight="true" outlineLevel="0" collapsed="false">
      <c r="A4" s="24" t="n">
        <v>46146</v>
      </c>
      <c r="B4" s="25" t="s">
        <v>41</v>
      </c>
      <c r="C4" s="25" t="s">
        <v>33</v>
      </c>
      <c r="D4" s="25"/>
      <c r="E4" s="25"/>
      <c r="F4" s="25"/>
      <c r="G4" s="25"/>
      <c r="H4" s="26"/>
      <c r="I4" s="25" t="s">
        <v>42</v>
      </c>
      <c r="J4" s="25" t="s">
        <v>37</v>
      </c>
      <c r="K4" s="27" t="s">
        <v>43</v>
      </c>
      <c r="L4" s="25"/>
      <c r="M4" s="25"/>
      <c r="N4" s="28"/>
      <c r="O4" s="28"/>
      <c r="P4" s="25"/>
      <c r="Q4" s="25"/>
      <c r="R4" s="29"/>
      <c r="S4" s="30" t="s">
        <v>44</v>
      </c>
      <c r="T4" s="30" t="s">
        <v>40</v>
      </c>
    </row>
    <row r="5" customFormat="false" ht="37.5" hidden="false" customHeight="true" outlineLevel="0" collapsed="false">
      <c r="A5" s="24" t="n">
        <v>46146</v>
      </c>
      <c r="B5" s="25" t="s">
        <v>41</v>
      </c>
      <c r="C5" s="25" t="s">
        <v>33</v>
      </c>
      <c r="D5" s="25"/>
      <c r="E5" s="25"/>
      <c r="F5" s="25"/>
      <c r="G5" s="25"/>
      <c r="H5" s="26"/>
      <c r="I5" s="25" t="s">
        <v>45</v>
      </c>
      <c r="J5" s="25" t="s">
        <v>37</v>
      </c>
      <c r="K5" s="31" t="s">
        <v>38</v>
      </c>
      <c r="L5" s="25"/>
      <c r="M5" s="25"/>
      <c r="N5" s="28"/>
      <c r="O5" s="28"/>
      <c r="P5" s="25"/>
      <c r="Q5" s="25"/>
      <c r="R5" s="29"/>
      <c r="S5" s="30" t="s">
        <v>44</v>
      </c>
      <c r="T5" s="30" t="s">
        <v>40</v>
      </c>
    </row>
    <row r="6" customFormat="false" ht="37.5" hidden="false" customHeight="true" outlineLevel="0" collapsed="false">
      <c r="A6" s="24" t="n">
        <v>46146</v>
      </c>
      <c r="B6" s="25" t="s">
        <v>41</v>
      </c>
      <c r="C6" s="25" t="s">
        <v>33</v>
      </c>
      <c r="D6" s="25"/>
      <c r="E6" s="25"/>
      <c r="F6" s="25"/>
      <c r="G6" s="25"/>
      <c r="H6" s="26"/>
      <c r="I6" s="25" t="s">
        <v>46</v>
      </c>
      <c r="J6" s="25" t="s">
        <v>37</v>
      </c>
      <c r="K6" s="31" t="s">
        <v>38</v>
      </c>
      <c r="L6" s="25"/>
      <c r="M6" s="25"/>
      <c r="N6" s="28"/>
      <c r="O6" s="28"/>
      <c r="P6" s="25"/>
      <c r="Q6" s="25"/>
      <c r="R6" s="29"/>
      <c r="S6" s="30" t="s">
        <v>44</v>
      </c>
      <c r="T6" s="30" t="s">
        <v>40</v>
      </c>
    </row>
    <row r="7" customFormat="false" ht="18" hidden="false" customHeight="true" outlineLevel="0" collapsed="false">
      <c r="A7" s="32" t="n">
        <v>46161</v>
      </c>
      <c r="B7" s="33" t="s">
        <v>32</v>
      </c>
      <c r="C7" s="33" t="s">
        <v>47</v>
      </c>
      <c r="D7" s="33" t="s">
        <v>48</v>
      </c>
      <c r="E7" s="33" t="s">
        <v>49</v>
      </c>
      <c r="F7" s="33" t="s">
        <v>50</v>
      </c>
      <c r="G7" s="33" t="s">
        <v>51</v>
      </c>
      <c r="H7" s="34"/>
      <c r="I7" s="35" t="s">
        <v>52</v>
      </c>
      <c r="J7" s="33" t="s">
        <v>53</v>
      </c>
      <c r="K7" s="36" t="s">
        <v>54</v>
      </c>
      <c r="L7" s="33" t="s">
        <v>55</v>
      </c>
      <c r="M7" s="33"/>
      <c r="N7" s="37" t="n">
        <v>46161</v>
      </c>
      <c r="O7" s="37" t="n">
        <v>46213</v>
      </c>
      <c r="P7" s="38" t="n">
        <f aca="true">IF(K7="04 - Cerrado","-",O7-TODAY())</f>
        <v>-22</v>
      </c>
      <c r="Q7" s="39" t="s">
        <v>56</v>
      </c>
      <c r="R7" s="40"/>
      <c r="S7" s="41" t="str">
        <f aca="true">IF(AND(K7&lt;&gt;"04 - Cerrado",O7&lt;TODAY()),"Si","No")</f>
        <v>Si</v>
      </c>
      <c r="T7" s="42" t="s">
        <v>40</v>
      </c>
    </row>
    <row r="8" customFormat="false" ht="18" hidden="false" customHeight="true" outlineLevel="0" collapsed="false">
      <c r="A8" s="43" t="n">
        <v>46161</v>
      </c>
      <c r="B8" s="44" t="s">
        <v>41</v>
      </c>
      <c r="C8" s="44" t="s">
        <v>47</v>
      </c>
      <c r="D8" s="45"/>
      <c r="E8" s="45"/>
      <c r="F8" s="45"/>
      <c r="G8" s="46"/>
      <c r="H8" s="47"/>
      <c r="I8" s="48" t="s">
        <v>57</v>
      </c>
      <c r="J8" s="44" t="s">
        <v>58</v>
      </c>
      <c r="K8" s="49" t="s">
        <v>43</v>
      </c>
      <c r="L8" s="45"/>
      <c r="M8" s="45"/>
      <c r="N8" s="50"/>
      <c r="O8" s="51"/>
      <c r="P8" s="45"/>
      <c r="Q8" s="45"/>
      <c r="R8" s="40"/>
      <c r="S8" s="52" t="s">
        <v>44</v>
      </c>
      <c r="T8" s="53" t="s">
        <v>40</v>
      </c>
    </row>
    <row r="9" customFormat="false" ht="18" hidden="false" customHeight="true" outlineLevel="0" collapsed="false">
      <c r="A9" s="44"/>
      <c r="B9" s="44" t="s">
        <v>41</v>
      </c>
      <c r="C9" s="44" t="s">
        <v>47</v>
      </c>
      <c r="D9" s="45"/>
      <c r="E9" s="45"/>
      <c r="F9" s="45"/>
      <c r="G9" s="46"/>
      <c r="H9" s="47"/>
      <c r="I9" s="48" t="s">
        <v>59</v>
      </c>
      <c r="J9" s="44" t="s">
        <v>58</v>
      </c>
      <c r="K9" s="54" t="s">
        <v>38</v>
      </c>
      <c r="L9" s="45"/>
      <c r="M9" s="55" t="s">
        <v>60</v>
      </c>
      <c r="N9" s="50"/>
      <c r="O9" s="51"/>
      <c r="P9" s="45"/>
      <c r="Q9" s="45"/>
      <c r="R9" s="40"/>
      <c r="S9" s="52" t="s">
        <v>44</v>
      </c>
      <c r="T9" s="53" t="s">
        <v>40</v>
      </c>
    </row>
    <row r="10" customFormat="false" ht="18" hidden="false" customHeight="true" outlineLevel="0" collapsed="false">
      <c r="A10" s="32" t="n">
        <v>46162</v>
      </c>
      <c r="B10" s="33" t="s">
        <v>32</v>
      </c>
      <c r="C10" s="33" t="s">
        <v>61</v>
      </c>
      <c r="D10" s="33" t="s">
        <v>62</v>
      </c>
      <c r="E10" s="33" t="s">
        <v>63</v>
      </c>
      <c r="F10" s="33" t="s">
        <v>64</v>
      </c>
      <c r="G10" s="33" t="s">
        <v>65</v>
      </c>
      <c r="H10" s="34"/>
      <c r="I10" s="35" t="s">
        <v>66</v>
      </c>
      <c r="J10" s="33" t="s">
        <v>67</v>
      </c>
      <c r="K10" s="56" t="s">
        <v>68</v>
      </c>
      <c r="L10" s="33"/>
      <c r="M10" s="33"/>
      <c r="N10" s="37" t="n">
        <v>46162</v>
      </c>
      <c r="O10" s="37" t="n">
        <v>46218</v>
      </c>
      <c r="P10" s="38" t="n">
        <f aca="true">IF(K10="04 - Cerrado","-",O10-TODAY())</f>
        <v>-17</v>
      </c>
      <c r="Q10" s="39" t="s">
        <v>69</v>
      </c>
      <c r="R10" s="40"/>
      <c r="S10" s="41" t="str">
        <f aca="true">IF(AND(K10&lt;&gt;"04 - Cerrado",O10&lt;TODAY()),"Si","No")</f>
        <v>Si</v>
      </c>
      <c r="T10" s="42" t="s">
        <v>70</v>
      </c>
    </row>
    <row r="11" customFormat="false" ht="18" hidden="false" customHeight="true" outlineLevel="0" collapsed="false">
      <c r="A11" s="43" t="n">
        <v>46162</v>
      </c>
      <c r="B11" s="44" t="s">
        <v>41</v>
      </c>
      <c r="C11" s="44" t="s">
        <v>61</v>
      </c>
      <c r="D11" s="45"/>
      <c r="E11" s="45"/>
      <c r="F11" s="45"/>
      <c r="G11" s="46"/>
      <c r="H11" s="47"/>
      <c r="I11" s="48" t="s">
        <v>71</v>
      </c>
      <c r="J11" s="44" t="s">
        <v>72</v>
      </c>
      <c r="K11" s="36" t="s">
        <v>54</v>
      </c>
      <c r="L11" s="45"/>
      <c r="M11" s="45"/>
      <c r="N11" s="50"/>
      <c r="O11" s="51"/>
      <c r="P11" s="45"/>
      <c r="Q11" s="45"/>
      <c r="R11" s="40"/>
      <c r="S11" s="52" t="s">
        <v>44</v>
      </c>
      <c r="T11" s="53" t="s">
        <v>70</v>
      </c>
    </row>
    <row r="12" customFormat="false" ht="18" hidden="false" customHeight="true" outlineLevel="0" collapsed="false">
      <c r="A12" s="44"/>
      <c r="B12" s="44" t="s">
        <v>41</v>
      </c>
      <c r="C12" s="44" t="s">
        <v>61</v>
      </c>
      <c r="D12" s="57"/>
      <c r="E12" s="57"/>
      <c r="F12" s="57"/>
      <c r="G12" s="58"/>
      <c r="H12" s="59"/>
      <c r="I12" s="48" t="s">
        <v>73</v>
      </c>
      <c r="J12" s="44" t="s">
        <v>74</v>
      </c>
      <c r="K12" s="56" t="s">
        <v>68</v>
      </c>
      <c r="L12" s="57"/>
      <c r="M12" s="55" t="s">
        <v>75</v>
      </c>
      <c r="N12" s="60"/>
      <c r="O12" s="51"/>
      <c r="P12" s="57"/>
      <c r="Q12" s="57"/>
      <c r="R12" s="61"/>
      <c r="S12" s="52" t="s">
        <v>44</v>
      </c>
      <c r="T12" s="53" t="s">
        <v>70</v>
      </c>
    </row>
    <row r="13" customFormat="false" ht="18" hidden="false" customHeight="true" outlineLevel="0" collapsed="false">
      <c r="A13" s="32" t="n">
        <v>46181</v>
      </c>
      <c r="B13" s="33" t="s">
        <v>32</v>
      </c>
      <c r="C13" s="33" t="s">
        <v>76</v>
      </c>
      <c r="D13" s="33" t="s">
        <v>77</v>
      </c>
      <c r="E13" s="33" t="s">
        <v>78</v>
      </c>
      <c r="F13" s="33" t="s">
        <v>64</v>
      </c>
      <c r="G13" s="33"/>
      <c r="H13" s="34"/>
      <c r="I13" s="35" t="s">
        <v>79</v>
      </c>
      <c r="J13" s="33" t="s">
        <v>80</v>
      </c>
      <c r="K13" s="49" t="s">
        <v>43</v>
      </c>
      <c r="L13" s="33"/>
      <c r="M13" s="33"/>
      <c r="N13" s="37" t="n">
        <v>46181</v>
      </c>
      <c r="O13" s="37" t="n">
        <v>46185</v>
      </c>
      <c r="P13" s="38" t="str">
        <f aca="true">IF(K13="04 - Cerrado","-",O13-TODAY())</f>
        <v>-</v>
      </c>
      <c r="Q13" s="39" t="s">
        <v>81</v>
      </c>
      <c r="R13" s="61"/>
      <c r="S13" s="41" t="str">
        <f aca="true">IF(AND(K13&lt;&gt;"04 - Cerrado",O13&lt;TODAY()),"Si","No")</f>
        <v>No</v>
      </c>
      <c r="T13" s="42" t="s">
        <v>40</v>
      </c>
    </row>
    <row r="14" customFormat="false" ht="18" hidden="false" customHeight="true" outlineLevel="0" collapsed="false">
      <c r="A14" s="32" t="n">
        <v>46177</v>
      </c>
      <c r="B14" s="33" t="s">
        <v>32</v>
      </c>
      <c r="C14" s="33" t="s">
        <v>82</v>
      </c>
      <c r="D14" s="33" t="s">
        <v>83</v>
      </c>
      <c r="E14" s="33" t="s">
        <v>84</v>
      </c>
      <c r="F14" s="33" t="s">
        <v>35</v>
      </c>
      <c r="G14" s="33" t="s">
        <v>85</v>
      </c>
      <c r="H14" s="34" t="s">
        <v>86</v>
      </c>
      <c r="I14" s="35" t="s">
        <v>87</v>
      </c>
      <c r="J14" s="33" t="s">
        <v>88</v>
      </c>
      <c r="K14" s="62" t="s">
        <v>89</v>
      </c>
      <c r="L14" s="33"/>
      <c r="M14" s="33"/>
      <c r="N14" s="37" t="n">
        <v>46177</v>
      </c>
      <c r="O14" s="37" t="n">
        <v>46193</v>
      </c>
      <c r="P14" s="38" t="n">
        <f aca="true">IF(K14="04 - Cerrado","-",O14-TODAY())</f>
        <v>-42</v>
      </c>
      <c r="Q14" s="39" t="s">
        <v>90</v>
      </c>
      <c r="R14" s="61"/>
      <c r="S14" s="41" t="str">
        <f aca="true">IF(AND(K14&lt;&gt;"04 - Cerrado",O14&lt;TODAY()),"Si","No")</f>
        <v>Si</v>
      </c>
      <c r="T14" s="42" t="s">
        <v>40</v>
      </c>
    </row>
    <row r="15" customFormat="false" ht="18" hidden="false" customHeight="true" outlineLevel="0" collapsed="false">
      <c r="A15" s="43" t="n">
        <v>46177</v>
      </c>
      <c r="B15" s="44" t="s">
        <v>41</v>
      </c>
      <c r="C15" s="44" t="s">
        <v>82</v>
      </c>
      <c r="D15" s="57"/>
      <c r="E15" s="57"/>
      <c r="F15" s="57"/>
      <c r="G15" s="58"/>
      <c r="H15" s="59"/>
      <c r="I15" s="48" t="s">
        <v>91</v>
      </c>
      <c r="J15" s="44" t="s">
        <v>92</v>
      </c>
      <c r="K15" s="62" t="s">
        <v>89</v>
      </c>
      <c r="L15" s="57"/>
      <c r="M15" s="57"/>
      <c r="N15" s="60"/>
      <c r="O15" s="51"/>
      <c r="P15" s="57"/>
      <c r="Q15" s="57"/>
      <c r="R15" s="61"/>
      <c r="S15" s="52" t="s">
        <v>44</v>
      </c>
      <c r="T15" s="53" t="s">
        <v>40</v>
      </c>
    </row>
    <row r="16" customFormat="false" ht="18" hidden="false" customHeight="true" outlineLevel="0" collapsed="false">
      <c r="A16" s="32" t="n">
        <v>46188</v>
      </c>
      <c r="B16" s="33" t="s">
        <v>32</v>
      </c>
      <c r="C16" s="33" t="s">
        <v>93</v>
      </c>
      <c r="D16" s="33" t="s">
        <v>94</v>
      </c>
      <c r="E16" s="33" t="s">
        <v>95</v>
      </c>
      <c r="F16" s="33" t="s">
        <v>64</v>
      </c>
      <c r="G16" s="33"/>
      <c r="H16" s="34"/>
      <c r="I16" s="35" t="s">
        <v>96</v>
      </c>
      <c r="J16" s="33" t="s">
        <v>97</v>
      </c>
      <c r="K16" s="54" t="s">
        <v>38</v>
      </c>
      <c r="L16" s="33"/>
      <c r="M16" s="33"/>
      <c r="N16" s="37" t="n">
        <v>46188</v>
      </c>
      <c r="O16" s="37" t="n">
        <v>46208</v>
      </c>
      <c r="P16" s="38" t="n">
        <f aca="true">IF(K16="04 - Cerrado","-",O16-TODAY())</f>
        <v>-27</v>
      </c>
      <c r="Q16" s="39" t="s">
        <v>98</v>
      </c>
      <c r="R16" s="61"/>
      <c r="S16" s="41" t="str">
        <f aca="true">IF(AND(K16&lt;&gt;"04 - Cerrado",O16&lt;TODAY()),"Si","No")</f>
        <v>Si</v>
      </c>
      <c r="T16" s="42" t="s">
        <v>70</v>
      </c>
    </row>
    <row r="17" customFormat="false" ht="18" hidden="false" customHeight="true" outlineLevel="0" collapsed="false">
      <c r="A17" s="43" t="n">
        <v>46188</v>
      </c>
      <c r="B17" s="44" t="s">
        <v>41</v>
      </c>
      <c r="C17" s="44" t="s">
        <v>93</v>
      </c>
      <c r="D17" s="57"/>
      <c r="E17" s="57"/>
      <c r="F17" s="57"/>
      <c r="G17" s="58"/>
      <c r="H17" s="59"/>
      <c r="I17" s="48" t="s">
        <v>99</v>
      </c>
      <c r="J17" s="44" t="s">
        <v>97</v>
      </c>
      <c r="K17" s="54" t="s">
        <v>38</v>
      </c>
      <c r="L17" s="57"/>
      <c r="M17" s="57"/>
      <c r="N17" s="60"/>
      <c r="O17" s="51"/>
      <c r="P17" s="57"/>
      <c r="Q17" s="57"/>
      <c r="R17" s="61"/>
      <c r="S17" s="52" t="s">
        <v>44</v>
      </c>
      <c r="T17" s="53" t="s">
        <v>70</v>
      </c>
    </row>
    <row r="18" customFormat="false" ht="18" hidden="false" customHeight="true" outlineLevel="0" collapsed="false">
      <c r="A18" s="44"/>
      <c r="B18" s="44" t="s">
        <v>41</v>
      </c>
      <c r="C18" s="44" t="s">
        <v>93</v>
      </c>
      <c r="D18" s="57"/>
      <c r="E18" s="57"/>
      <c r="F18" s="57"/>
      <c r="G18" s="58"/>
      <c r="H18" s="59"/>
      <c r="I18" s="48" t="s">
        <v>100</v>
      </c>
      <c r="J18" s="44" t="s">
        <v>97</v>
      </c>
      <c r="K18" s="54" t="s">
        <v>38</v>
      </c>
      <c r="L18" s="57"/>
      <c r="M18" s="55" t="s">
        <v>101</v>
      </c>
      <c r="N18" s="60"/>
      <c r="O18" s="51"/>
      <c r="P18" s="57"/>
      <c r="Q18" s="57"/>
      <c r="R18" s="61"/>
      <c r="S18" s="52" t="s">
        <v>44</v>
      </c>
      <c r="T18" s="53" t="s">
        <v>70</v>
      </c>
    </row>
    <row r="19" customFormat="false" ht="18" hidden="false" customHeight="true" outlineLevel="0" collapsed="false">
      <c r="A19" s="57"/>
      <c r="B19" s="57"/>
      <c r="C19" s="63"/>
      <c r="D19" s="57"/>
      <c r="E19" s="57"/>
      <c r="F19" s="57"/>
      <c r="G19" s="58"/>
      <c r="H19" s="59"/>
      <c r="I19" s="64"/>
      <c r="J19" s="57"/>
      <c r="K19" s="57"/>
      <c r="L19" s="57"/>
      <c r="M19" s="57"/>
      <c r="N19" s="60"/>
      <c r="O19" s="60"/>
      <c r="P19" s="57"/>
      <c r="Q19" s="57"/>
      <c r="R19" s="61"/>
      <c r="S19" s="65"/>
      <c r="T19" s="65"/>
    </row>
  </sheetData>
  <dataValidations count="8">
    <dataValidation allowBlank="true" errorStyle="stop" operator="between" showDropDown="false" showErrorMessage="false" showInputMessage="false" sqref="F3:F19" type="list">
      <formula1>"Alta,Media,Baja"</formula1>
      <formula2>0</formula2>
    </dataValidation>
    <dataValidation allowBlank="true" errorStyle="stop" operator="between" showDropDown="false" showErrorMessage="false" showInputMessage="false" sqref="E3:E19" type="list">
      <formula1>"BH,Nacho Devitt,Gustavo Coria,Valeria Sánchez,Bartolomé Heredia,José Paredes,Wenceslao Maislin,Fernando Herrmann,Enrique Eiras,José G. Hamilton,Roberto Pagano,Guillermo Fey,Natalia Hilu,Pablo Morillo,Sebastian Pareja,Adrian Danieli - Testagrosa,Ignacio Lu"&amp;"pi,Fede Roldán,Valeria Ricco,Externo"</formula1>
      <formula2>0</formula2>
    </dataValidation>
    <dataValidation allowBlank="true" errorStyle="stop" operator="between" showDropDown="true" showErrorMessage="false" showInputMessage="false" sqref="N3:O19 R3:R19" type="custom">
      <formula1>OR(NOT(ISERROR(DATEVALUE(N3))), AND(ISNUMBER(N3), LEFT(CELL("format", N3))="D"))</formula1>
      <formula2>0</formula2>
    </dataValidation>
    <dataValidation allowBlank="true" errorStyle="stop" operator="between" showDropDown="false" showErrorMessage="false" showInputMessage="false" sqref="D3:D19" type="list">
      <formula1>"DNGO,DNISU,PROCREAR,Administración,Personales,Institucionales,Concesiones,Audiencias"</formula1>
      <formula2>0</formula2>
    </dataValidation>
    <dataValidation allowBlank="true" errorStyle="stop" operator="between" showDropDown="true" showErrorMessage="false" showInputMessage="false" sqref="I3:I19" type="none">
      <formula1>0</formula1>
      <formula2>0</formula2>
    </dataValidation>
    <dataValidation allowBlank="true" errorStyle="stop" operator="between" showDropDown="false" showErrorMessage="false" showInputMessage="false" sqref="G3:G19" type="list">
      <formula1>"Buenos Aires,Catamarca,Chaco,Chubut,Ciudad Autónoma de Buenos Aires,Córdoba,Corrientes,Entre Ríos,Formosa,Jujuy,La Pampa,La Rioja,Mendoza,Misiones,Neuquén,Río Negro,Salta,San Juan,San Luis,Santa Cruz,Santa Fe,Santiago del Estero,Tierra del Fuego,Tucumán,N"&amp;"o Aplica"</formula1>
      <formula2>0</formula2>
    </dataValidation>
    <dataValidation allowBlank="true" errorStyle="stop" operator="between" showDropDown="false" showErrorMessage="false" showInputMessage="false" sqref="K3:K19" type="list">
      <formula1>"01 - Pendiente,02 - En curso,03 - En revisión,04 - Cerrado,05 - Bloqueado"</formula1>
      <formula2>0</formula2>
    </dataValidation>
    <dataValidation allowBlank="true" errorStyle="stop" operator="between" showDropDown="false" showErrorMessage="false" showInputMessage="false" sqref="J3:J19" type="list">
      <formula1>"Luis Mesones,Alejandro Balbo,Karina Leone,Luisina Roa,Gabriela Corti,Marielda Romero,Guillermo Fey,Jorge Ríos,Jurisdicción ,Privada"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12.59765625" defaultRowHeight="12.75" zeroHeight="false" outlineLevelRow="0" outlineLevelCol="0"/>
  <cols>
    <col collapsed="false" customWidth="true" hidden="false" outlineLevel="0" max="1" min="1" style="1" width="19.26"/>
    <col collapsed="false" customWidth="true" hidden="false" outlineLevel="0" max="2" min="2" style="1" width="74"/>
    <col collapsed="false" customWidth="true" hidden="false" outlineLevel="0" max="26" min="3" style="1" width="7.57"/>
  </cols>
  <sheetData>
    <row r="1" customFormat="false" ht="15" hidden="false" customHeight="true" outlineLevel="0" collapsed="false">
      <c r="A1" s="66" t="s">
        <v>102</v>
      </c>
      <c r="B1" s="66"/>
    </row>
    <row r="2" customFormat="false" ht="60" hidden="false" customHeight="true" outlineLevel="0" collapsed="false">
      <c r="A2" s="67" t="s">
        <v>38</v>
      </c>
      <c r="B2" s="68" t="s">
        <v>103</v>
      </c>
      <c r="C2" s="69"/>
      <c r="D2" s="69"/>
      <c r="E2" s="69"/>
      <c r="F2" s="69"/>
      <c r="G2" s="69"/>
      <c r="H2" s="69"/>
      <c r="I2" s="69"/>
      <c r="J2" s="69"/>
      <c r="K2" s="69"/>
      <c r="L2" s="69"/>
      <c r="M2" s="69"/>
      <c r="N2" s="69"/>
      <c r="O2" s="69"/>
      <c r="P2" s="69"/>
      <c r="Q2" s="69"/>
      <c r="R2" s="69"/>
      <c r="S2" s="69"/>
      <c r="T2" s="69"/>
      <c r="U2" s="69"/>
      <c r="V2" s="69"/>
      <c r="W2" s="69"/>
      <c r="X2" s="69"/>
      <c r="Y2" s="69"/>
      <c r="Z2" s="69"/>
    </row>
    <row r="3" customFormat="false" ht="45" hidden="false" customHeight="true" outlineLevel="0" collapsed="false">
      <c r="A3" s="70" t="s">
        <v>54</v>
      </c>
      <c r="B3" s="68" t="s">
        <v>104</v>
      </c>
      <c r="C3" s="69"/>
      <c r="D3" s="69"/>
      <c r="E3" s="69"/>
      <c r="F3" s="69"/>
      <c r="G3" s="69"/>
      <c r="H3" s="69"/>
      <c r="I3" s="69"/>
      <c r="J3" s="69"/>
      <c r="K3" s="69"/>
      <c r="L3" s="69"/>
      <c r="M3" s="69"/>
      <c r="N3" s="69"/>
      <c r="O3" s="69"/>
      <c r="P3" s="69"/>
      <c r="Q3" s="69"/>
      <c r="R3" s="69"/>
      <c r="S3" s="69"/>
      <c r="T3" s="69"/>
      <c r="U3" s="69"/>
      <c r="V3" s="69"/>
      <c r="W3" s="69"/>
      <c r="X3" s="69"/>
      <c r="Y3" s="69"/>
      <c r="Z3" s="69"/>
    </row>
    <row r="4" customFormat="false" ht="69.75" hidden="false" customHeight="true" outlineLevel="0" collapsed="false">
      <c r="A4" s="70" t="s">
        <v>89</v>
      </c>
      <c r="B4" s="68" t="s">
        <v>105</v>
      </c>
      <c r="C4" s="69"/>
      <c r="D4" s="69"/>
      <c r="E4" s="69"/>
      <c r="F4" s="69"/>
      <c r="G4" s="69"/>
      <c r="H4" s="69"/>
      <c r="I4" s="69"/>
      <c r="J4" s="69"/>
      <c r="K4" s="69"/>
      <c r="L4" s="69"/>
      <c r="M4" s="69"/>
      <c r="N4" s="69"/>
      <c r="O4" s="69"/>
      <c r="P4" s="69"/>
      <c r="Q4" s="69"/>
      <c r="R4" s="69"/>
      <c r="S4" s="69"/>
      <c r="T4" s="69"/>
      <c r="U4" s="69"/>
      <c r="V4" s="69"/>
      <c r="W4" s="69"/>
      <c r="X4" s="69"/>
      <c r="Y4" s="69"/>
      <c r="Z4" s="69"/>
    </row>
    <row r="5" customFormat="false" ht="45" hidden="false" customHeight="true" outlineLevel="0" collapsed="false">
      <c r="A5" s="70" t="s">
        <v>43</v>
      </c>
      <c r="B5" s="68" t="s">
        <v>106</v>
      </c>
      <c r="C5" s="69"/>
      <c r="D5" s="69"/>
      <c r="E5" s="69"/>
      <c r="F5" s="69"/>
      <c r="G5" s="69"/>
      <c r="H5" s="69"/>
      <c r="I5" s="69"/>
      <c r="J5" s="69"/>
      <c r="K5" s="69"/>
      <c r="L5" s="69"/>
      <c r="M5" s="69"/>
      <c r="N5" s="69"/>
      <c r="O5" s="69"/>
      <c r="P5" s="69"/>
      <c r="Q5" s="69"/>
      <c r="R5" s="69"/>
      <c r="S5" s="69"/>
      <c r="T5" s="69"/>
      <c r="U5" s="69"/>
      <c r="V5" s="69"/>
      <c r="W5" s="69"/>
      <c r="X5" s="69"/>
      <c r="Y5" s="69"/>
      <c r="Z5" s="69"/>
    </row>
    <row r="6" customFormat="false" ht="94.5" hidden="false" customHeight="true" outlineLevel="0" collapsed="false">
      <c r="A6" s="70" t="s">
        <v>68</v>
      </c>
      <c r="B6" s="68" t="s">
        <v>107</v>
      </c>
      <c r="C6" s="69"/>
      <c r="D6" s="69"/>
      <c r="E6" s="69"/>
      <c r="F6" s="69"/>
      <c r="G6" s="69"/>
      <c r="H6" s="69"/>
      <c r="I6" s="69"/>
      <c r="J6" s="69"/>
      <c r="K6" s="69"/>
      <c r="L6" s="69"/>
      <c r="M6" s="69"/>
      <c r="N6" s="69"/>
      <c r="O6" s="69"/>
      <c r="P6" s="69"/>
      <c r="Q6" s="69"/>
      <c r="R6" s="69"/>
      <c r="S6" s="69"/>
      <c r="T6" s="69"/>
      <c r="U6" s="69"/>
      <c r="V6" s="69"/>
      <c r="W6" s="69"/>
      <c r="X6" s="69"/>
      <c r="Y6" s="69"/>
      <c r="Z6" s="69"/>
    </row>
    <row r="8" customFormat="false" ht="15" hidden="false" customHeight="true" outlineLevel="0" collapsed="false">
      <c r="A8" s="71" t="s">
        <v>17</v>
      </c>
      <c r="B8" s="71"/>
    </row>
    <row r="9" customFormat="false" ht="75" hidden="false" customHeight="true" outlineLevel="0" collapsed="false">
      <c r="A9" s="72" t="s">
        <v>64</v>
      </c>
      <c r="B9" s="68" t="s">
        <v>108</v>
      </c>
    </row>
    <row r="10" customFormat="false" ht="60" hidden="false" customHeight="true" outlineLevel="0" collapsed="false">
      <c r="A10" s="73" t="s">
        <v>35</v>
      </c>
      <c r="B10" s="68" t="s">
        <v>109</v>
      </c>
    </row>
    <row r="11" customFormat="false" ht="60" hidden="false" customHeight="true" outlineLevel="0" collapsed="false">
      <c r="A11" s="73" t="s">
        <v>50</v>
      </c>
      <c r="B11" s="68" t="s">
        <v>110</v>
      </c>
    </row>
    <row r="12" customFormat="false" ht="54.75" hidden="false" customHeight="true" outlineLevel="0" collapsed="false">
      <c r="A12" s="74" t="s">
        <v>111</v>
      </c>
      <c r="B12" s="75" t="s">
        <v>112</v>
      </c>
    </row>
  </sheetData>
  <mergeCells count="2">
    <mergeCell ref="A1:B1"/>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2026-08-01T17:55:43Z</dcterms:created>
  <dc:creator>openpyxl</dc:creator>
  <dc:description/>
  <dc:language>en-US</dc:language>
  <cp:lastModifiedBy>J R</cp:lastModifiedBy>
  <dcterms:modified xsi:type="dcterms:W3CDTF">2026-08-01T18:31:51Z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